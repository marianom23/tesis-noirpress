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5e1bb01d249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5681a6a51084237"/>
    <x:sheet xmlns:r="http://schemas.openxmlformats.org/officeDocument/2006/relationships" name="Ingresos" sheetId="2" r:id="R187c0aa366574129"/>
    <x:sheet xmlns:r="http://schemas.openxmlformats.org/officeDocument/2006/relationships" name="Ventas Mensuales" sheetId="3" r:id="Rd6000b756c8d4629"/>
    <x:sheet xmlns:r="http://schemas.openxmlformats.org/officeDocument/2006/relationships" name="Control Stock" sheetId="4" r:id="R6f0e53d92e6b4b27"/>
    <x:sheet xmlns:r="http://schemas.openxmlformats.org/officeDocument/2006/relationships" name="Guía" sheetId="5" r:id="Rc403df441cfc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dd/mm/yyyy"/>
    <x:numFmt numFmtId="201" formatCode="$#,##0.00"/>
    <x:numFmt numFmtId="202" formatCode="#,##0.00"/>
    <x:numFmt numFmtId="203" formatCode="0.0"/>
    <x:numFmt numFmtId="204" formatCode="mmm-yy"/>
    <x:numFmt numFmtId="205" formatCode="0"/>
    <x:numFmt numFmtId="206" formatCode="$#,##0"/>
  </x:numFmts>
  <x:fonts count="7">
    <x:font>
      <x:sz val="11"/>
      <x:name val="Carlito"/>
    </x:font>
    <x:font>
      <x:b/>
      <x:sz val="17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sz val="11"/>
      <x:color rgb="FF92400E"/>
      <x:name val="Carlito"/>
    </x:font>
    <x:font>
      <x:sz val="11"/>
      <x:color rgb="FF1F2937"/>
      <x:name val="Carlito"/>
    </x:font>
    <x:font>
      <x:b/>
      <x:sz val="11"/>
      <x:color rgb="FF1F293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2F8"/>
      </x:patternFill>
    </x:fill>
    <x:fill>
      <x:patternFill patternType="solid">
        <x:fgColor rgb="FFFFF1C2"/>
      </x:patternFill>
    </x:fill>
    <x:fill>
      <x:patternFill patternType="solid">
        <x:fgColor rgb="FF2F6690"/>
      </x:patternFill>
    </x:fill>
    <x:fill>
      <x:patternFill patternType="solid">
        <x:fgColor rgb="FFF4F6F8"/>
      </x:patternFill>
    </x:fill>
  </x:fills>
  <x:borders count="18">
    <x:border/>
    <x:border/>
    <x:border>
      <x:left style="thin">
        <x:color rgb="FFD6DEE6"/>
      </x:left>
      <x:top style="thin">
        <x:color rgb="FFD6DEE6"/>
      </x:top>
    </x:border>
    <x:border>
      <x:top style="thin">
        <x:color rgb="FFD6DEE6"/>
      </x:top>
    </x:border>
    <x:border>
      <x:right style="thin">
        <x:color rgb="FFD6DEE6"/>
      </x:right>
      <x:top style="thin">
        <x:color rgb="FFD6DEE6"/>
      </x:top>
    </x:border>
    <x:border>
      <x:left style="thin">
        <x:color rgb="FFD6DEE6"/>
      </x:left>
    </x:border>
    <x:border>
      <x:right style="thin">
        <x:color rgb="FFD6DEE6"/>
      </x:right>
    </x:border>
    <x:border>
      <x:left style="thin">
        <x:color rgb="FFD6DEE6"/>
      </x:left>
      <x:bottom style="thin">
        <x:color rgb="FFD6DEE6"/>
      </x:bottom>
    </x:border>
    <x:border>
      <x:bottom style="thin">
        <x:color rgb="FFD6DEE6"/>
      </x:bottom>
    </x:border>
    <x:border>
      <x:right style="thin">
        <x:color rgb="FFD6DEE6"/>
      </x:right>
      <x:bottom style="thin">
        <x:color rgb="FFD6DEE6"/>
      </x:bottom>
    </x:border>
    <x:border>
      <x:left style="thin">
        <x:color rgb="FFD6DEE6"/>
      </x:left>
      <x:top style="thin">
        <x:color rgb="FFD6DEE6"/>
      </x:top>
    </x:border>
    <x:border>
      <x:top style="thin">
        <x:color rgb="FFD6DEE6"/>
      </x:top>
    </x:border>
    <x:border>
      <x:right style="thin">
        <x:color rgb="FFD6DEE6"/>
      </x:right>
      <x:top style="thin">
        <x:color rgb="FFD6DEE6"/>
      </x:top>
    </x:border>
    <x:border>
      <x:left style="thin">
        <x:color rgb="FFD6DEE6"/>
      </x:left>
    </x:border>
    <x:border>
      <x:right style="thin">
        <x:color rgb="FFD6DEE6"/>
      </x:right>
    </x:border>
    <x:border>
      <x:left style="thin">
        <x:color rgb="FFD6DEE6"/>
      </x:left>
      <x:bottom style="thin">
        <x:color rgb="FFD6DEE6"/>
      </x:bottom>
    </x:border>
    <x:border>
      <x:bottom style="thin">
        <x:color rgb="FFD6DEE6"/>
      </x:bottom>
    </x:border>
    <x:border>
      <x:right style="thin">
        <x:color rgb="FFD6DEE6"/>
      </x:right>
      <x:bottom style="thin">
        <x:color rgb="FFD6DEE6"/>
      </x:bottom>
    </x:border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8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203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200" fontId="0" fillId="0" borderId="16" xfId="0" applyNumberFormat="1" applyFont="1" applyFill="1" applyBorder="1"/>
    <x:xf numFmtId="0" fontId="0" fillId="0" borderId="16" xfId="0" applyNumberFormat="1" applyFont="1" applyFill="1" applyBorder="1"/>
    <x:xf numFmtId="201" fontId="0" fillId="0" borderId="16" xfId="0" applyNumberFormat="1" applyFont="1" applyFill="1" applyBorder="1"/>
    <x:xf numFmtId="202" fontId="0" fillId="0" borderId="16" xfId="0" applyNumberFormat="1" applyFont="1" applyFill="1" applyBorder="1"/>
    <x:xf numFmtId="203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4" fontId="0" fillId="0" borderId="5" xfId="0" applyNumberFormat="1" applyFont="1" applyFill="1" applyBorder="1"/>
    <x:xf numFmtId="204" fontId="0" fillId="0" borderId="7" xfId="0" applyNumberFormat="1" applyFont="1" applyFill="1" applyBorder="1"/>
    <x:xf numFmtId="204" fontId="0" fillId="0" borderId="13" xfId="0" applyNumberFormat="1" applyFont="1" applyFill="1" applyBorder="1"/>
    <x:xf numFmtId="204" fontId="0" fillId="0" borderId="15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5" fillId="3" borderId="1" xfId="0" applyNumberFormat="1" applyFont="1" applyFill="1" applyBorder="1"/>
    <x:xf numFmtId="0" fontId="5" fillId="3" borderId="1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5" fontId="0" fillId="0" borderId="8" xfId="0" applyNumberFormat="1" applyFont="1" applyFill="1" applyBorder="1"/>
    <x:xf numFmtId="205" fontId="0" fillId="0" borderId="16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6" fontId="0" fillId="0" borderId="8" xfId="0" applyNumberFormat="1" applyFont="1" applyFill="1" applyBorder="1"/>
    <x:xf numFmtId="206" fontId="0" fillId="0" borderId="16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0" fontId="6" fillId="3" borderId="1" xfId="0" applyNumberFormat="1" applyFont="1" applyFill="1" applyBorder="1"/>
    <x:xf numFmtId="0" fontId="6" fillId="3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1" xfId="0" applyNumberFormat="1" applyFont="1" applyFill="1" applyBorder="1" applyAlignment="1">
      <x:alignment wrapText="1"/>
    </x:xf>
    <x:xf numFmtId="0" fontId="6" fillId="3" borderId="2" xfId="0" applyNumberFormat="1" applyFont="1" applyFill="1" applyBorder="1" applyAlignment="1">
      <x:alignment wrapText="1"/>
    </x:xf>
    <x:xf numFmtId="0" fontId="5" fillId="6" borderId="4" xfId="0" applyNumberFormat="1" applyFont="1" applyFill="1" applyBorder="1" applyAlignment="1">
      <x:alignment wrapText="1"/>
    </x:xf>
    <x:xf numFmtId="0" fontId="6" fillId="3" borderId="5" xfId="0" applyNumberFormat="1" applyFont="1" applyFill="1" applyBorder="1" applyAlignment="1">
      <x:alignment wrapText="1"/>
    </x:xf>
    <x:xf numFmtId="0" fontId="5" fillId="6" borderId="6" xfId="0" applyNumberFormat="1" applyFont="1" applyFill="1" applyBorder="1" applyAlignment="1">
      <x:alignment wrapText="1"/>
    </x:xf>
    <x:xf numFmtId="0" fontId="6" fillId="3" borderId="7" xfId="0" applyNumberFormat="1" applyFont="1" applyFill="1" applyBorder="1" applyAlignment="1">
      <x:alignment wrapText="1"/>
    </x:xf>
    <x:xf numFmtId="0" fontId="5" fillId="6" borderId="9" xfId="0" applyNumberFormat="1" applyFont="1" applyFill="1" applyBorder="1" applyAlignment="1">
      <x:alignment wrapText="1"/>
    </x:xf>
    <x:xf numFmtId="0" fontId="6" fillId="3" borderId="10" xfId="0" applyNumberFormat="1" applyFont="1" applyFill="1" applyBorder="1" applyAlignment="1">
      <x:alignment wrapText="1"/>
    </x:xf>
    <x:xf numFmtId="0" fontId="5" fillId="6" borderId="12" xfId="0" applyNumberFormat="1" applyFont="1" applyFill="1" applyBorder="1" applyAlignment="1">
      <x:alignment wrapText="1"/>
    </x:xf>
    <x:xf numFmtId="0" fontId="6" fillId="3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6" fillId="3" borderId="15" xfId="0" applyNumberFormat="1" applyFont="1" applyFill="1" applyBorder="1" applyAlignment="1">
      <x:alignment wrapText="1"/>
    </x:xf>
    <x:xf numFmtId="0" fontId="5" fillId="6" borderId="17" xfId="0" applyNumberFormat="1" applyFont="1" applyFill="1" applyBorder="1" applyAlignment="1">
      <x:alignment wrapText="1"/>
    </x:xf>
    <x:xf numFmtId="0" fontId="5" fillId="6" borderId="8" xfId="0" applyNumberFormat="1" applyFont="1" applyFill="1" applyBorder="1" applyAlignment="1">
      <x:alignment wrapText="1"/>
    </x:xf>
  </x:cellXfs>
  <x:cellStyles count="1">
    <x:cellStyle name="Normal" xfId="0"/>
  </x:cellStyles>
  <x:dxfs count="5"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color rgb="FF92400E"/>
      </x:font>
      <x:fill>
        <x:patternFill patternType="solid">
          <x:bgColor rgb="FFFFF1C2"/>
        </x:patternFill>
      </x:fill>
    </x:dxf>
    <x:dxf>
      <x:font>
        <x:b/>
        <x:color rgb="FF991B1B"/>
      </x:font>
      <x:fill>
        <x:patternFill patternType="solid">
          <x:bgColor rgb="FFFDE2E2"/>
        </x:patternFill>
      </x:fill>
    </x:dxf>
    <x:dxf>
      <x:font>
        <x:b/>
        <x:color rgb="FF92400E"/>
      </x:font>
      <x:fill>
        <x:patternFill patternType="solid">
          <x:bgColor rgb="FFFFF1C2"/>
        </x:patternFill>
      </x:fill>
    </x:dxf>
    <x:dxf>
      <x:font>
        <x:color rgb="FF166534"/>
      </x:font>
      <x:fill>
        <x:patternFill patternType="solid">
          <x:bgColor rgb="FFDFF2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fb4acb30f74a3b" /><Relationship Type="http://schemas.openxmlformats.org/officeDocument/2006/relationships/theme" Target="/xl/theme/theme1.xml" Id="Red13fb6028234fbd" /><Relationship Type="http://schemas.openxmlformats.org/officeDocument/2006/relationships/sharedStrings" Target="/xl/sharedStrings.xml" Id="R617d6d0792d24b15" /><Relationship Type="http://schemas.openxmlformats.org/officeDocument/2006/relationships/worksheet" Target="/xl/worksheets/sheet1.xml" Id="R85681a6a51084237" /><Relationship Type="http://schemas.openxmlformats.org/officeDocument/2006/relationships/worksheet" Target="/xl/worksheets/sheet2.xml" Id="R187c0aa366574129" /><Relationship Type="http://schemas.openxmlformats.org/officeDocument/2006/relationships/worksheet" Target="/xl/worksheets/sheet3.xml" Id="Rd6000b756c8d4629" /><Relationship Type="http://schemas.openxmlformats.org/officeDocument/2006/relationships/worksheet" Target="/xl/worksheets/sheet4.xml" Id="R6f0e53d92e6b4b27" /><Relationship Type="http://schemas.openxmlformats.org/officeDocument/2006/relationships/worksheet" Target="/xl/worksheets/sheet5.xml" Id="Rc403df441cfc487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5e349709f5e454f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Unidades recibidas por pedido comercial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Negro</c:v>
          </c:tx>
          <c:cat>
            <c:strRef>
              <c:f>'Resumen'!$L$4:$L$10</c:f>
              <c:strCache>
                <c:ptCount val="0"/>
              </c:strCache>
            </c:strRef>
          </c:cat>
          <c:val>
            <c:numRef>
              <c:f>'Resumen'!$M$4:$M$10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Blanco</c:v>
          </c:tx>
          <c:cat>
            <c:strRef>
              <c:f>'Resumen'!$L$4:$L$10</c:f>
              <c:strCache>
                <c:ptCount val="0"/>
              </c:strCache>
            </c:strRef>
          </c:cat>
          <c:val>
            <c:numRef>
              <c:f>'Resumen'!$N$4:$N$10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10</xdr:col>
      <xdr:colOff>0</xdr:colOff>
      <xdr:row>22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5e349709f5e454f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ablaIngresos" displayName="TablaIngresos" ref="A4:P14" headerRowCount="1">
  <x:tableColumns count="16">
    <x:tableColumn id="1" name="ID Lote"/>
    <x:tableColumn id="2" name="Fecha ingreso"/>
    <x:tableColumn id="3" name="SKU"/>
    <x:tableColumn id="4" name="Tipo"/>
    <x:tableColumn id="5" name="Unidades"/>
    <x:tableColumn id="6" name="Factura China USD"/>
    <x:tableColumn id="7" name="Flete aéreo USD"/>
    <x:tableColumn id="8" name="Tipo de cambio"/>
    <x:tableColumn id="9" name="Impuestos ARS"/>
    <x:tableColumn id="10" name="Logística ARS"/>
    <x:tableColumn id="11" name="Costo total ARS"/>
    <x:tableColumn id="12" name="Landed unitario ARS"/>
    <x:tableColumn id="13" name="N.º pedido SKU"/>
    <x:tableColumn id="14" name="Días desde anterior"/>
    <x:tableColumn id="15" name="Semanas"/>
    <x:tableColumn id="16" name="Cadencia"/>
  </x:tableColumns>
  <x:tableStyleInfo name="TableStyleMedium2" showRowStripes="1"/>
</x:table>
</file>

<file path=xl/tables/table2.xml><?xml version="1.0" encoding="utf-8"?>
<x:table xmlns:x="http://schemas.openxmlformats.org/spreadsheetml/2006/main" id="2" name="TablaVentas" displayName="TablaVentas" ref="A4:E42" headerRowCount="1">
  <x:tableColumns count="5">
    <x:tableColumn id="1" name="Mes"/>
    <x:tableColumn id="2" name="SKU"/>
    <x:tableColumn id="3" name="Unidades vendidas"/>
    <x:tableColumn id="4" name="Canal / fuente"/>
    <x:tableColumn id="5" name="Notas"/>
  </x:tableColumns>
  <x:tableStyleInfo name="TableStyleMedium2" showRowStripes="1"/>
</x:table>
</file>

<file path=xl/tables/table3.xml><?xml version="1.0" encoding="utf-8"?>
<x:table xmlns:x="http://schemas.openxmlformats.org/spreadsheetml/2006/main" id="3" name="TablaControl" displayName="TablaControl" ref="A4:I42" headerRowCount="1">
  <x:tableColumns count="9">
    <x:tableColumn id="1" name="Mes"/>
    <x:tableColumn id="2" name="SKU"/>
    <x:tableColumn id="3" name="Ingresos"/>
    <x:tableColumn id="4" name="Ventas"/>
    <x:tableColumn id="5" name="Stock inicial"/>
    <x:tableColumn id="6" name="Stock final"/>
    <x:tableColumn id="7" name="Estado"/>
    <x:tableColumn id="8" name="Días desde último pedido"/>
    <x:tableColumn id="9" name="Comentari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f9c7c07d2d4ce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bb09fea839f47a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520220980a046e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6ea2f36d156418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7" hidden="0" customWidth="1"/>
    <x:col min="3" max="3" width="12" hidden="0" customWidth="1"/>
    <x:col min="4" max="4" width="13" hidden="0" customWidth="1"/>
    <x:col min="5" max="5" width="13" hidden="0" customWidth="1"/>
    <x:col min="6" max="6" width="12" hidden="0" customWidth="1"/>
    <x:col min="7" max="7" width="12" hidden="0" customWidth="1"/>
    <x:col min="8" max="8" width="12" hidden="0" customWidth="1"/>
    <x:col min="9" max="9" width="18" hidden="0" customWidth="1"/>
    <x:col min="10" max="10" width="38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32" customHeight="1">
      <x:c r="A1" s="4" t="str">
        <x:v>Resumen ejecutivo — reposiciones Noirpress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74" t="str">
        <x:v>Indicadores por SKU (solo pedidos comerciales)</x:v>
      </x:c>
      <x:c r="B3" s="74"/>
      <x:c r="C3" s="74"/>
      <x:c r="D3" s="74"/>
      <x:c r="E3" s="74"/>
      <x:c r="F3" s="74"/>
      <x:c r="G3" s="74"/>
      <x:c r="H3" s="74"/>
      <x:c r="I3" s="74"/>
      <x:c r="J3" s="74"/>
      <x:c r="L3" s="15" t="str">
        <x:v>Fecha</x:v>
      </x:c>
      <x:c r="M3" s="15" t="str">
        <x:v>Negro</x:v>
      </x:c>
      <x:c r="N3" s="15" t="str">
        <x:v>Blanco</x:v>
      </x:c>
    </x:row>
    <x:row r="4">
      <x:c r="A4" s="28" t="str">
        <x:v>SKU</x:v>
      </x:c>
      <x:c r="B4" s="29" t="str">
        <x:v>Pedidos</x:v>
      </x:c>
      <x:c r="C4" s="29" t="str">
        <x:v>Unidades</x:v>
      </x:c>
      <x:c r="D4" s="29" t="str">
        <x:v>Primer pedido</x:v>
      </x:c>
      <x:c r="E4" s="29" t="str">
        <x:v>Último pedido</x:v>
      </x:c>
      <x:c r="F4" s="29" t="str">
        <x:v>Prom. días</x:v>
      </x:c>
      <x:c r="G4" s="29" t="str">
        <x:v>Máx. días</x:v>
      </x:c>
      <x:c r="H4" s="29" t="str">
        <x:v>Mín. días</x:v>
      </x:c>
      <x:c r="I4" s="29" t="str">
        <x:v>Landed ponderado</x:v>
      </x:c>
      <x:c r="J4" s="30" t="str">
        <x:v>Lectura</x:v>
      </x:c>
      <x:c r="L4" s="20" t="n">
        <x:v>45864</x:v>
      </x:c>
      <x:c r="M4" t="n">
        <x:v>24</x:v>
      </x:c>
      <x:c r="N4" t="n">
        <x:v>24</x:v>
      </x:c>
    </x:row>
    <x:row r="5">
      <x:c r="A5" s="31" t="str">
        <x:v>Noirpress-Negro</x:v>
      </x:c>
      <x:c r="B5" s="32" t="n">
        <x:v>7</x:v>
      </x:c>
      <x:c r="C5" s="32" t="n">
        <x:v>616</x:v>
      </x:c>
      <x:c r="D5" s="20" t="n">
        <x:v>45864</x:v>
      </x:c>
      <x:c r="E5" s="20" t="n">
        <x:v>46204</x:v>
      </x:c>
      <x:c r="F5" s="26" t="n">
        <x:v>56.666666666666664</x:v>
      </x:c>
      <x:c r="G5" s="26" t="n">
        <x:v>103</x:v>
      </x:c>
      <x:c r="H5" s="26" t="n">
        <x:v>18</x:v>
      </x:c>
      <x:c r="I5" s="77" t="n">
        <x:v>61087.75837662337</x:v>
      </x:c>
      <x:c r="J5" s="33" t="str">
        <x:v>Escala creciente; desde abril 2026 los pedidos se aceleran.</x:v>
      </x:c>
      <x:c r="L5" s="20" t="n">
        <x:v>45967</x:v>
      </x:c>
      <x:c r="M5" t="n">
        <x:v>48</x:v>
      </x:c>
      <x:c r="N5" t="n">
        <x:v>0</x:v>
      </x:c>
    </x:row>
    <x:row r="6">
      <x:c r="A6" s="34" t="str">
        <x:v>Noirpress-Blanco</x:v>
      </x:c>
      <x:c r="B6" s="36" t="n">
        <x:v>2</x:v>
      </x:c>
      <x:c r="C6" s="36" t="n">
        <x:v>44</x:v>
      </x:c>
      <x:c r="D6" s="35" t="n">
        <x:v>45864</x:v>
      </x:c>
      <x:c r="E6" s="35" t="n">
        <x:v>46058</x:v>
      </x:c>
      <x:c r="F6" s="39" t="n">
        <x:v>194</x:v>
      </x:c>
      <x:c r="G6" s="39" t="n">
        <x:v>194</x:v>
      </x:c>
      <x:c r="H6" s="39" t="n">
        <x:v>194</x:v>
      </x:c>
      <x:c r="I6" s="79" t="n">
        <x:v>56795.65909090909</x:v>
      </x:c>
      <x:c r="J6" s="40" t="str">
        <x:v>Reposición muy espaciada; alto riesgo si hubo ventas sostenidas.</x:v>
      </x:c>
      <x:c r="L6" s="20" t="n">
        <x:v>46040</x:v>
      </x:c>
      <x:c r="M6" t="n">
        <x:v>48</x:v>
      </x:c>
      <x:c r="N6" t="n">
        <x:v>0</x:v>
      </x:c>
    </x:row>
    <x:row r="7">
      <x:c r="L7" s="20" t="n">
        <x:v>46058</x:v>
      </x:c>
      <x:c r="M7" t="n">
        <x:v>88</x:v>
      </x:c>
      <x:c r="N7" t="n">
        <x:v>20</x:v>
      </x:c>
    </x:row>
    <x:row r="8">
      <x:c r="A8" s="74" t="str">
        <x:v>Conclusiones rápidas</x:v>
      </x:c>
      <x:c r="B8" s="74"/>
      <x:c r="C8" s="74"/>
      <x:c r="D8" s="74"/>
      <x:c r="E8" s="74"/>
      <x:c r="F8" s="74"/>
      <x:c r="G8" s="74"/>
      <x:c r="H8" s="74"/>
      <x:c r="I8" s="74"/>
      <x:c r="J8" s="74"/>
      <x:c r="L8" s="20" t="n">
        <x:v>46118</x:v>
      </x:c>
      <x:c r="M8" t="n">
        <x:v>120</x:v>
      </x:c>
      <x:c r="N8" t="n">
        <x:v>0</x:v>
      </x:c>
    </x:row>
    <x:row r="9" ht="34" customHeight="1">
      <x:c r="A9" s="91" t="str">
        <x:v>Negro</x:v>
      </x:c>
      <x:c r="B9" s="92" t="str">
        <x:v>Los intervalos fueron 103, 73, 18, 60, 51 y 35 días. El promedio fue 56,7 días.</x:v>
      </x:c>
      <x:c r="L9" s="20" t="n">
        <x:v>46169</x:v>
      </x:c>
      <x:c r="M9" t="n">
        <x:v>144</x:v>
      </x:c>
      <x:c r="N9" t="n">
        <x:v>0</x:v>
      </x:c>
    </x:row>
    <x:row r="10" ht="34" customHeight="1">
      <x:c r="A10" s="93" t="str">
        <x:v>Negro</x:v>
      </x:c>
      <x:c r="B10" s="94" t="str">
        <x:v>Los lotes crecieron de 24–48 unidades a 88, 120 y 144; esto sugiere mayor rotación o preparación para mayor demanda.</x:v>
      </x:c>
      <x:c r="L10" s="20" t="n">
        <x:v>46204</x:v>
      </x:c>
      <x:c r="M10" t="n">
        <x:v>144</x:v>
      </x:c>
      <x:c r="N10" t="n">
        <x:v>0</x:v>
      </x:c>
    </x:row>
    <x:row r="11" ht="34" customHeight="1">
      <x:c r="A11" s="93" t="str">
        <x:v>Blanco</x:v>
      </x:c>
      <x:c r="B11" s="94" t="str">
        <x:v>Hubo 194 días entre los dos pedidos comerciales, con solo 44 unidades recibidas en total.</x:v>
      </x:c>
    </x:row>
    <x:row r="12" ht="34" customHeight="1">
      <x:c r="A12" s="93" t="str">
        <x:v>Quiebres</x:v>
      </x:c>
      <x:c r="B12" s="94" t="str">
        <x:v>No pueden confirmarse sin ventas. Al cargar ventas mensuales, Control Stock marcará saldo cero o negativo.</x:v>
      </x:c>
    </x:row>
    <x:row r="13" ht="34" customHeight="1">
      <x:c r="A13" s="95" t="str">
        <x:v>Precisión</x:v>
      </x:c>
      <x:c r="B13" s="96" t="str">
        <x:v>El análisis mensual identifica el mes del posible quiebre; para saber el día exacto hace falta venta diaria.</x:v>
      </x:c>
    </x:row>
  </x:sheetData>
  <x:mergeCells>
    <x:mergeCell ref="A1:J1"/>
    <x:mergeCell ref="A3:J3"/>
    <x:mergeCell ref="A8:J8"/>
  </x:mergeCells>
  <x:pageMargins left="0.7" right="0.7" top="0.75" bottom="0.75" header="0.3" footer="0.3"/>
  <x:drawing xmlns:r="http://schemas.openxmlformats.org/officeDocument/2006/relationships" r:id="R2af9c7c07d2d4cee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3" hidden="0" customWidth="1"/>
    <x:col min="3" max="3" width="20" hidden="0" customWidth="1"/>
    <x:col min="4" max="4" width="11" hidden="0" customWidth="1"/>
    <x:col min="5" max="5" width="11" hidden="0" customWidth="1"/>
    <x:col min="6" max="6" width="15" hidden="0" customWidth="1"/>
    <x:col min="7" max="7" width="15" hidden="0" customWidth="1"/>
    <x:col min="8" max="8" width="13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2" hidden="0" customWidth="1"/>
    <x:col min="14" max="14" width="14" hidden="0" customWidth="1"/>
    <x:col min="15" max="15" width="10" hidden="0" customWidth="1"/>
    <x:col min="16" max="16" width="18" hidden="0" customWidth="1"/>
  </x:cols>
  <x:sheetData>
    <x:row r="1" ht="30" customHeight="1">
      <x:c r="A1" s="4" t="str">
        <x:v>Historial de pedidos y frecuencia de reposición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9" t="str">
        <x:v>La frecuencia excluye SAMPLE-001 para no distorsionar los pedidos comerciales.</x:v>
      </x:c>
      <x:c r="B2" s="9"/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9"/>
      <x:c r="O2" s="9"/>
      <x:c r="P2" s="9"/>
    </x:row>
    <x:row r="4">
      <x:c r="A4" s="28" t="str">
        <x:v>ID Lote</x:v>
      </x:c>
      <x:c r="B4" s="29" t="str">
        <x:v>Fecha ingreso</x:v>
      </x:c>
      <x:c r="C4" s="29" t="str">
        <x:v>SKU</x:v>
      </x:c>
      <x:c r="D4" s="29" t="str">
        <x:v>Tipo</x:v>
      </x:c>
      <x:c r="E4" s="29" t="str">
        <x:v>Unidades</x:v>
      </x:c>
      <x:c r="F4" s="29" t="str">
        <x:v>Factura China USD</x:v>
      </x:c>
      <x:c r="G4" s="29" t="str">
        <x:v>Flete aéreo USD</x:v>
      </x:c>
      <x:c r="H4" s="29" t="str">
        <x:v>Tipo de cambio</x:v>
      </x:c>
      <x:c r="I4" s="29" t="str">
        <x:v>Impuestos ARS</x:v>
      </x:c>
      <x:c r="J4" s="29" t="str">
        <x:v>Logística ARS</x:v>
      </x:c>
      <x:c r="K4" s="29" t="str">
        <x:v>Costo total ARS</x:v>
      </x:c>
      <x:c r="L4" s="29" t="str">
        <x:v>Landed unitario ARS</x:v>
      </x:c>
      <x:c r="M4" s="29" t="str">
        <x:v>N.º pedido SKU</x:v>
      </x:c>
      <x:c r="N4" s="29" t="str">
        <x:v>Días desde anterior</x:v>
      </x:c>
      <x:c r="O4" s="29" t="str">
        <x:v>Semanas</x:v>
      </x:c>
      <x:c r="P4" s="30" t="str">
        <x:v>Cadencia</x:v>
      </x:c>
    </x:row>
    <x:row r="5">
      <x:c r="A5" s="31" t="str">
        <x:v>SAMPLE-001</x:v>
      </x:c>
      <x:c r="B5" s="20" t="n">
        <x:v>45823</x:v>
      </x:c>
      <x:c r="C5" s="32" t="str">
        <x:v>Noirpress-Negro</x:v>
      </x:c>
      <x:c r="D5" s="32" t="str">
        <x:v>Muestra</x:v>
      </x:c>
      <x:c r="E5" s="32" t="n">
        <x:v>2</x:v>
      </x:c>
      <x:c r="F5" s="22" t="n">
        <x:v>153</x:v>
      </x:c>
      <x:c r="G5" s="22" t="n">
        <x:v>0</x:v>
      </x:c>
      <x:c r="H5" s="24" t="n">
        <x:v>1240</x:v>
      </x:c>
      <x:c r="I5" s="22" t="n">
        <x:v>78932.08</x:v>
      </x:c>
      <x:c r="J5" s="22" t="n">
        <x:v>0</x:v>
      </x:c>
      <x:c r="K5" s="22" t="n">
        <x:v>268652.08</x:v>
      </x:c>
      <x:c r="L5" s="22" t="n">
        <x:v>134326.04</x:v>
      </x:c>
      <x:c r="M5" s="32"/>
      <x:c r="N5" s="32"/>
      <x:c r="O5" s="26"/>
      <x:c r="P5" s="33" t="str">
        <x:v>Muestra inicial</x:v>
      </x:c>
    </x:row>
    <x:row r="6">
      <x:c r="A6" s="31" t="str">
        <x:v>BLACK-001</x:v>
      </x:c>
      <x:c r="B6" s="20" t="n">
        <x:v>45864</x:v>
      </x:c>
      <x:c r="C6" s="32" t="str">
        <x:v>Noirpress-Negro</x:v>
      </x:c>
      <x:c r="D6" s="32" t="str">
        <x:v>Comercial</x:v>
      </x:c>
      <x:c r="E6" s="32" t="n">
        <x:v>24</x:v>
      </x:c>
      <x:c r="F6" s="22" t="n">
        <x:v>504</x:v>
      </x:c>
      <x:c r="G6" s="22" t="n">
        <x:v>428</x:v>
      </x:c>
      <x:c r="H6" s="24" t="n">
        <x:v>1290</x:v>
      </x:c>
      <x:c r="I6" s="22" t="n">
        <x:v>135500</x:v>
      </x:c>
      <x:c r="J6" s="22" t="n">
        <x:v>0</x:v>
      </x:c>
      <x:c r="K6" s="22" t="n">
        <x:v>1337780</x:v>
      </x:c>
      <x:c r="L6" s="22" t="n">
        <x:v>55740.83333</x:v>
      </x:c>
      <x:c r="M6" s="32" t="n">
        <x:v>1</x:v>
      </x:c>
      <x:c r="N6" s="32"/>
      <x:c r="O6" s="26"/>
      <x:c r="P6" s="33" t="str">
        <x:v>Primer pedido</x:v>
      </x:c>
    </x:row>
    <x:row r="7">
      <x:c r="A7" s="31" t="str">
        <x:v>WHITE-001</x:v>
      </x:c>
      <x:c r="B7" s="20" t="n">
        <x:v>45864</x:v>
      </x:c>
      <x:c r="C7" s="32" t="str">
        <x:v>Noirpress-Blanco</x:v>
      </x:c>
      <x:c r="D7" s="32" t="str">
        <x:v>Comercial</x:v>
      </x:c>
      <x:c r="E7" s="32" t="n">
        <x:v>24</x:v>
      </x:c>
      <x:c r="F7" s="22" t="n">
        <x:v>504</x:v>
      </x:c>
      <x:c r="G7" s="22" t="n">
        <x:v>428</x:v>
      </x:c>
      <x:c r="H7" s="24" t="n">
        <x:v>1290</x:v>
      </x:c>
      <x:c r="I7" s="22" t="n">
        <x:v>135500</x:v>
      </x:c>
      <x:c r="J7" s="22" t="n">
        <x:v>0</x:v>
      </x:c>
      <x:c r="K7" s="22" t="n">
        <x:v>1337780</x:v>
      </x:c>
      <x:c r="L7" s="22" t="n">
        <x:v>55740.83333</x:v>
      </x:c>
      <x:c r="M7" s="32" t="n">
        <x:v>1</x:v>
      </x:c>
      <x:c r="N7" s="32"/>
      <x:c r="O7" s="26"/>
      <x:c r="P7" s="33" t="str">
        <x:v>Primer pedido</x:v>
      </x:c>
    </x:row>
    <x:row r="8">
      <x:c r="A8" s="31" t="str">
        <x:v>BLACK-002</x:v>
      </x:c>
      <x:c r="B8" s="20" t="n">
        <x:v>45967</x:v>
      </x:c>
      <x:c r="C8" s="32" t="str">
        <x:v>Noirpress-Negro</x:v>
      </x:c>
      <x:c r="D8" s="32" t="str">
        <x:v>Comercial</x:v>
      </x:c>
      <x:c r="E8" s="32" t="n">
        <x:v>48</x:v>
      </x:c>
      <x:c r="F8" s="22" t="n">
        <x:v>1053</x:v>
      </x:c>
      <x:c r="G8" s="22" t="n">
        <x:v>848.31</x:v>
      </x:c>
      <x:c r="H8" s="24" t="n">
        <x:v>1400</x:v>
      </x:c>
      <x:c r="I8" s="22" t="n">
        <x:v>273000</x:v>
      </x:c>
      <x:c r="J8" s="22" t="n">
        <x:v>0</x:v>
      </x:c>
      <x:c r="K8" s="22" t="n">
        <x:v>2934834</x:v>
      </x:c>
      <x:c r="L8" s="22" t="n">
        <x:v>61142.375</x:v>
      </x:c>
      <x:c r="M8" s="32" t="n">
        <x:v>2</x:v>
      </x:c>
      <x:c r="N8" s="32" t="n">
        <x:v>103</x:v>
      </x:c>
      <x:c r="O8" s="26" t="n">
        <x:v>14.714285714285714</x:v>
      </x:c>
      <x:c r="P8" s="33" t="str">
        <x:v>Más de 90 días</x:v>
      </x:c>
    </x:row>
    <x:row r="9">
      <x:c r="A9" s="31" t="str">
        <x:v>BLACK-003</x:v>
      </x:c>
      <x:c r="B9" s="20" t="n">
        <x:v>46040</x:v>
      </x:c>
      <x:c r="C9" s="32" t="str">
        <x:v>Noirpress-Negro</x:v>
      </x:c>
      <x:c r="D9" s="32" t="str">
        <x:v>Comercial</x:v>
      </x:c>
      <x:c r="E9" s="32" t="n">
        <x:v>48</x:v>
      </x:c>
      <x:c r="F9" s="22" t="n">
        <x:v>1053</x:v>
      </x:c>
      <x:c r="G9" s="22" t="n">
        <x:v>814.21</x:v>
      </x:c>
      <x:c r="H9" s="24" t="n">
        <x:v>1460</x:v>
      </x:c>
      <x:c r="I9" s="22" t="n">
        <x:v>258715</x:v>
      </x:c>
      <x:c r="J9" s="22" t="n">
        <x:v>0</x:v>
      </x:c>
      <x:c r="K9" s="22" t="n">
        <x:v>2984841.6</x:v>
      </x:c>
      <x:c r="L9" s="22" t="n">
        <x:v>62184.2</x:v>
      </x:c>
      <x:c r="M9" s="32" t="n">
        <x:v>3</x:v>
      </x:c>
      <x:c r="N9" s="32" t="n">
        <x:v>73</x:v>
      </x:c>
      <x:c r="O9" s="26" t="n">
        <x:v>10.428571428571429</x:v>
      </x:c>
      <x:c r="P9" s="33" t="str">
        <x:v>61–90 días</x:v>
      </x:c>
    </x:row>
    <x:row r="10">
      <x:c r="A10" s="31" t="str">
        <x:v>BLACK-004</x:v>
      </x:c>
      <x:c r="B10" s="20" t="n">
        <x:v>46058</x:v>
      </x:c>
      <x:c r="C10" s="32" t="str">
        <x:v>Noirpress-Negro</x:v>
      </x:c>
      <x:c r="D10" s="32" t="str">
        <x:v>Comercial</x:v>
      </x:c>
      <x:c r="E10" s="32" t="n">
        <x:v>88</x:v>
      </x:c>
      <x:c r="F10" s="22" t="n">
        <x:v>1792.56</x:v>
      </x:c>
      <x:c r="G10" s="22" t="n">
        <x:v>1429.12</x:v>
      </x:c>
      <x:c r="H10" s="24" t="n">
        <x:v>1445</x:v>
      </x:c>
      <x:c r="I10" s="22" t="n">
        <x:v>454080</x:v>
      </x:c>
      <x:c r="J10" s="22" t="n">
        <x:v>0</x:v>
      </x:c>
      <x:c r="K10" s="22" t="n">
        <x:v>5109407.6</x:v>
      </x:c>
      <x:c r="L10" s="22" t="n">
        <x:v>58061.45</x:v>
      </x:c>
      <x:c r="M10" s="32" t="n">
        <x:v>4</x:v>
      </x:c>
      <x:c r="N10" s="32" t="n">
        <x:v>18</x:v>
      </x:c>
      <x:c r="O10" s="26" t="n">
        <x:v>2.5714285714285716</x:v>
      </x:c>
      <x:c r="P10" s="33" t="str">
        <x:v>30 días o menos</x:v>
      </x:c>
    </x:row>
    <x:row r="11">
      <x:c r="A11" s="31" t="str">
        <x:v>WHITE-002</x:v>
      </x:c>
      <x:c r="B11" s="20" t="n">
        <x:v>46058</x:v>
      </x:c>
      <x:c r="C11" s="32" t="str">
        <x:v>Noirpress-Blanco</x:v>
      </x:c>
      <x:c r="D11" s="32" t="str">
        <x:v>Comercial</x:v>
      </x:c>
      <x:c r="E11" s="32" t="n">
        <x:v>20</x:v>
      </x:c>
      <x:c r="F11" s="22" t="n">
        <x:v>407.4</x:v>
      </x:c>
      <x:c r="G11" s="22" t="n">
        <x:v>324.8</x:v>
      </x:c>
      <x:c r="H11" s="24" t="n">
        <x:v>1445</x:v>
      </x:c>
      <x:c r="I11" s="22" t="n">
        <x:v>103200</x:v>
      </x:c>
      <x:c r="J11" s="22" t="n">
        <x:v>0</x:v>
      </x:c>
      <x:c r="K11" s="22" t="n">
        <x:v>1161229</x:v>
      </x:c>
      <x:c r="L11" s="22" t="n">
        <x:v>58061.45</x:v>
      </x:c>
      <x:c r="M11" s="32" t="n">
        <x:v>2</x:v>
      </x:c>
      <x:c r="N11" s="32" t="n">
        <x:v>194</x:v>
      </x:c>
      <x:c r="O11" s="26" t="n">
        <x:v>27.714285714285715</x:v>
      </x:c>
      <x:c r="P11" s="33" t="str">
        <x:v>Más de 90 días</x:v>
      </x:c>
    </x:row>
    <x:row r="12">
      <x:c r="A12" s="31" t="str">
        <x:v>BLACK-005</x:v>
      </x:c>
      <x:c r="B12" s="20" t="n">
        <x:v>46118</x:v>
      </x:c>
      <x:c r="C12" s="32" t="str">
        <x:v>Noirpress-Negro</x:v>
      </x:c>
      <x:c r="D12" s="32" t="str">
        <x:v>Comercial</x:v>
      </x:c>
      <x:c r="E12" s="32" t="n">
        <x:v>120</x:v>
      </x:c>
      <x:c r="F12" s="22" t="n">
        <x:v>2566.02</x:v>
      </x:c>
      <x:c r="G12" s="22" t="n">
        <x:v>1809</x:v>
      </x:c>
      <x:c r="H12" s="24" t="n">
        <x:v>1398</x:v>
      </x:c>
      <x:c r="I12" s="22" t="n">
        <x:v>538898</x:v>
      </x:c>
      <x:c r="J12" s="22" t="n">
        <x:v>0</x:v>
      </x:c>
      <x:c r="K12" s="22" t="n">
        <x:v>6655175.96</x:v>
      </x:c>
      <x:c r="L12" s="22" t="n">
        <x:v>55459.79967</x:v>
      </x:c>
      <x:c r="M12" s="32" t="n">
        <x:v>5</x:v>
      </x:c>
      <x:c r="N12" s="32" t="n">
        <x:v>60</x:v>
      </x:c>
      <x:c r="O12" s="26" t="n">
        <x:v>8.571428571428571</x:v>
      </x:c>
      <x:c r="P12" s="33" t="str">
        <x:v>31–60 días</x:v>
      </x:c>
    </x:row>
    <x:row r="13">
      <x:c r="A13" s="31" t="str">
        <x:v>BLACK-006</x:v>
      </x:c>
      <x:c r="B13" s="20" t="n">
        <x:v>46169</x:v>
      </x:c>
      <x:c r="C13" s="32" t="str">
        <x:v>Noirpress-Negro</x:v>
      </x:c>
      <x:c r="D13" s="32" t="str">
        <x:v>Comercial</x:v>
      </x:c>
      <x:c r="E13" s="32" t="n">
        <x:v>144</x:v>
      </x:c>
      <x:c r="F13" s="22" t="n">
        <x:v>3133.8</x:v>
      </x:c>
      <x:c r="G13" s="22" t="n">
        <x:v>2800</x:v>
      </x:c>
      <x:c r="H13" s="24" t="n">
        <x:v>1450</x:v>
      </x:c>
      <x:c r="I13" s="22" t="n">
        <x:v>700000</x:v>
      </x:c>
      <x:c r="J13" s="22" t="n">
        <x:v>0</x:v>
      </x:c>
      <x:c r="K13" s="22" t="n">
        <x:v>9304010</x:v>
      </x:c>
      <x:c r="L13" s="22" t="n">
        <x:v>64611.18056</x:v>
      </x:c>
      <x:c r="M13" s="32" t="n">
        <x:v>6</x:v>
      </x:c>
      <x:c r="N13" s="32" t="n">
        <x:v>51</x:v>
      </x:c>
      <x:c r="O13" s="26" t="n">
        <x:v>7.285714285714286</x:v>
      </x:c>
      <x:c r="P13" s="33" t="str">
        <x:v>31–60 días</x:v>
      </x:c>
    </x:row>
    <x:row r="14">
      <x:c r="A14" s="34" t="str">
        <x:v>BLACK-007</x:v>
      </x:c>
      <x:c r="B14" s="35" t="n">
        <x:v>46204</x:v>
      </x:c>
      <x:c r="C14" s="36" t="str">
        <x:v>Noirpress-Negro</x:v>
      </x:c>
      <x:c r="D14" s="36" t="str">
        <x:v>Comercial</x:v>
      </x:c>
      <x:c r="E14" s="36" t="n">
        <x:v>144</x:v>
      </x:c>
      <x:c r="F14" s="37" t="n">
        <x:v>3133.8</x:v>
      </x:c>
      <x:c r="G14" s="37" t="n">
        <x:v>2800</x:v>
      </x:c>
      <x:c r="H14" s="38" t="n">
        <x:v>1450</x:v>
      </x:c>
      <x:c r="I14" s="37" t="n">
        <x:v>700000</x:v>
      </x:c>
      <x:c r="J14" s="37" t="n">
        <x:v>0</x:v>
      </x:c>
      <x:c r="K14" s="37" t="n">
        <x:v>9304010</x:v>
      </x:c>
      <x:c r="L14" s="37" t="n">
        <x:v>64611.18056</x:v>
      </x:c>
      <x:c r="M14" s="36" t="n">
        <x:v>7</x:v>
      </x:c>
      <x:c r="N14" s="36" t="n">
        <x:v>35</x:v>
      </x:c>
      <x:c r="O14" s="39" t="n">
        <x:v>5</x:v>
      </x:c>
      <x:c r="P14" s="40" t="str">
        <x:v>31–60 días</x:v>
      </x:c>
    </x:row>
  </x:sheetData>
  <x:mergeCells>
    <x:mergeCell ref="A1:P1"/>
    <x:mergeCell ref="A2:P2"/>
  </x:mergeCells>
  <x:conditionalFormatting sqref="P5:P14">
    <x:cfRule type="expression" dxfId="0" priority="1">
      <x:formula>P5="Más de 90 días"</x:formula>
    </x:cfRule>
    <x:cfRule type="expression" dxfId="1" priority="2">
      <x:formula>P5="61–90 días"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bb09fea839f47a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6" hidden="0" customWidth="1"/>
    <x:col min="4" max="4" width="22" hidden="0" customWidth="1"/>
    <x:col min="5" max="5" width="34" hidden="0" customWidth="1"/>
  </x:cols>
  <x:sheetData>
    <x:row r="1" ht="30" customHeight="1">
      <x:c r="A1" s="4" t="str">
        <x:v>Carga de ventas mensuales</x:v>
      </x:c>
      <x:c r="B1" s="4"/>
      <x:c r="C1" s="4"/>
      <x:c r="D1" s="4"/>
      <x:c r="E1" s="4"/>
    </x:row>
    <x:row r="2">
      <x:c r="A2" s="55" t="str">
        <x:v>Reemplazá los ceros por las unidades vendidas. Para confirmar el día exacto de un quiebre se necesitará luego el detalle diario.</x:v>
      </x:c>
      <x:c r="B2" s="55"/>
      <x:c r="C2" s="55"/>
      <x:c r="D2" s="55"/>
      <x:c r="E2" s="55"/>
    </x:row>
    <x:row r="4">
      <x:c r="A4" s="28" t="str">
        <x:v>Mes</x:v>
      </x:c>
      <x:c r="B4" s="29" t="str">
        <x:v>SKU</x:v>
      </x:c>
      <x:c r="C4" s="29" t="str">
        <x:v>Unidades vendidas</x:v>
      </x:c>
      <x:c r="D4" s="29" t="str">
        <x:v>Canal / fuente</x:v>
      </x:c>
      <x:c r="E4" s="30" t="str">
        <x:v>Notas</x:v>
      </x:c>
    </x:row>
    <x:row r="5">
      <x:c r="A5" s="61" t="n">
        <x:v>45809</x:v>
      </x:c>
      <x:c r="B5" s="32" t="str">
        <x:v>Noirpress-Negro</x:v>
      </x:c>
      <x:c r="C5" s="32" t="n">
        <x:v>0</x:v>
      </x:c>
      <x:c r="D5" s="32" t="str"/>
      <x:c r="E5" s="33" t="str"/>
    </x:row>
    <x:row r="6">
      <x:c r="A6" s="61" t="n">
        <x:v>45809</x:v>
      </x:c>
      <x:c r="B6" s="32" t="str">
        <x:v>Noirpress-Blanco</x:v>
      </x:c>
      <x:c r="C6" s="32" t="n">
        <x:v>0</x:v>
      </x:c>
      <x:c r="D6" s="32" t="str"/>
      <x:c r="E6" s="33" t="str"/>
    </x:row>
    <x:row r="7">
      <x:c r="A7" s="61" t="n">
        <x:v>45839</x:v>
      </x:c>
      <x:c r="B7" s="32" t="str">
        <x:v>Noirpress-Negro</x:v>
      </x:c>
      <x:c r="C7" s="32" t="n">
        <x:v>0</x:v>
      </x:c>
      <x:c r="D7" s="32" t="str"/>
      <x:c r="E7" s="33" t="str"/>
    </x:row>
    <x:row r="8">
      <x:c r="A8" s="61" t="n">
        <x:v>45839</x:v>
      </x:c>
      <x:c r="B8" s="32" t="str">
        <x:v>Noirpress-Blanco</x:v>
      </x:c>
      <x:c r="C8" s="32" t="n">
        <x:v>0</x:v>
      </x:c>
      <x:c r="D8" s="32" t="str"/>
      <x:c r="E8" s="33" t="str"/>
    </x:row>
    <x:row r="9">
      <x:c r="A9" s="61" t="n">
        <x:v>45870</x:v>
      </x:c>
      <x:c r="B9" s="32" t="str">
        <x:v>Noirpress-Negro</x:v>
      </x:c>
      <x:c r="C9" s="32" t="n">
        <x:v>0</x:v>
      </x:c>
      <x:c r="D9" s="32" t="str"/>
      <x:c r="E9" s="33" t="str"/>
    </x:row>
    <x:row r="10">
      <x:c r="A10" s="61" t="n">
        <x:v>45870</x:v>
      </x:c>
      <x:c r="B10" s="32" t="str">
        <x:v>Noirpress-Blanco</x:v>
      </x:c>
      <x:c r="C10" s="32" t="n">
        <x:v>0</x:v>
      </x:c>
      <x:c r="D10" s="32" t="str"/>
      <x:c r="E10" s="33" t="str"/>
    </x:row>
    <x:row r="11">
      <x:c r="A11" s="61" t="n">
        <x:v>45901</x:v>
      </x:c>
      <x:c r="B11" s="32" t="str">
        <x:v>Noirpress-Negro</x:v>
      </x:c>
      <x:c r="C11" s="32" t="n">
        <x:v>0</x:v>
      </x:c>
      <x:c r="D11" s="32" t="str"/>
      <x:c r="E11" s="33" t="str"/>
    </x:row>
    <x:row r="12">
      <x:c r="A12" s="61" t="n">
        <x:v>45901</x:v>
      </x:c>
      <x:c r="B12" s="32" t="str">
        <x:v>Noirpress-Blanco</x:v>
      </x:c>
      <x:c r="C12" s="32" t="n">
        <x:v>0</x:v>
      </x:c>
      <x:c r="D12" s="32" t="str"/>
      <x:c r="E12" s="33" t="str"/>
    </x:row>
    <x:row r="13">
      <x:c r="A13" s="61" t="n">
        <x:v>45931</x:v>
      </x:c>
      <x:c r="B13" s="32" t="str">
        <x:v>Noirpress-Negro</x:v>
      </x:c>
      <x:c r="C13" s="32" t="n">
        <x:v>0</x:v>
      </x:c>
      <x:c r="D13" s="32" t="str"/>
      <x:c r="E13" s="33" t="str"/>
    </x:row>
    <x:row r="14">
      <x:c r="A14" s="61" t="n">
        <x:v>45931</x:v>
      </x:c>
      <x:c r="B14" s="32" t="str">
        <x:v>Noirpress-Blanco</x:v>
      </x:c>
      <x:c r="C14" s="32" t="n">
        <x:v>0</x:v>
      </x:c>
      <x:c r="D14" s="32" t="str"/>
      <x:c r="E14" s="33" t="str"/>
    </x:row>
    <x:row r="15">
      <x:c r="A15" s="61" t="n">
        <x:v>45962</x:v>
      </x:c>
      <x:c r="B15" s="32" t="str">
        <x:v>Noirpress-Negro</x:v>
      </x:c>
      <x:c r="C15" s="32" t="n">
        <x:v>0</x:v>
      </x:c>
      <x:c r="D15" s="32" t="str"/>
      <x:c r="E15" s="33" t="str"/>
    </x:row>
    <x:row r="16">
      <x:c r="A16" s="61" t="n">
        <x:v>45962</x:v>
      </x:c>
      <x:c r="B16" s="32" t="str">
        <x:v>Noirpress-Blanco</x:v>
      </x:c>
      <x:c r="C16" s="32" t="n">
        <x:v>0</x:v>
      </x:c>
      <x:c r="D16" s="32" t="str"/>
      <x:c r="E16" s="33" t="str"/>
    </x:row>
    <x:row r="17">
      <x:c r="A17" s="61" t="n">
        <x:v>45992</x:v>
      </x:c>
      <x:c r="B17" s="32" t="str">
        <x:v>Noirpress-Negro</x:v>
      </x:c>
      <x:c r="C17" s="32" t="n">
        <x:v>0</x:v>
      </x:c>
      <x:c r="D17" s="32" t="str"/>
      <x:c r="E17" s="33" t="str"/>
    </x:row>
    <x:row r="18">
      <x:c r="A18" s="61" t="n">
        <x:v>45992</x:v>
      </x:c>
      <x:c r="B18" s="32" t="str">
        <x:v>Noirpress-Blanco</x:v>
      </x:c>
      <x:c r="C18" s="32" t="n">
        <x:v>0</x:v>
      </x:c>
      <x:c r="D18" s="32" t="str"/>
      <x:c r="E18" s="33" t="str"/>
    </x:row>
    <x:row r="19">
      <x:c r="A19" s="61" t="n">
        <x:v>46023</x:v>
      </x:c>
      <x:c r="B19" s="32" t="str">
        <x:v>Noirpress-Negro</x:v>
      </x:c>
      <x:c r="C19" s="32" t="n">
        <x:v>0</x:v>
      </x:c>
      <x:c r="D19" s="32" t="str"/>
      <x:c r="E19" s="33" t="str"/>
    </x:row>
    <x:row r="20">
      <x:c r="A20" s="61" t="n">
        <x:v>46023</x:v>
      </x:c>
      <x:c r="B20" s="32" t="str">
        <x:v>Noirpress-Blanco</x:v>
      </x:c>
      <x:c r="C20" s="32" t="n">
        <x:v>0</x:v>
      </x:c>
      <x:c r="D20" s="32" t="str"/>
      <x:c r="E20" s="33" t="str"/>
    </x:row>
    <x:row r="21">
      <x:c r="A21" s="61" t="n">
        <x:v>46054</x:v>
      </x:c>
      <x:c r="B21" s="32" t="str">
        <x:v>Noirpress-Negro</x:v>
      </x:c>
      <x:c r="C21" s="32" t="n">
        <x:v>0</x:v>
      </x:c>
      <x:c r="D21" s="32" t="str"/>
      <x:c r="E21" s="33" t="str"/>
    </x:row>
    <x:row r="22">
      <x:c r="A22" s="61" t="n">
        <x:v>46054</x:v>
      </x:c>
      <x:c r="B22" s="32" t="str">
        <x:v>Noirpress-Blanco</x:v>
      </x:c>
      <x:c r="C22" s="32" t="n">
        <x:v>0</x:v>
      </x:c>
      <x:c r="D22" s="32" t="str"/>
      <x:c r="E22" s="33" t="str"/>
    </x:row>
    <x:row r="23">
      <x:c r="A23" s="61" t="n">
        <x:v>46082</x:v>
      </x:c>
      <x:c r="B23" s="32" t="str">
        <x:v>Noirpress-Negro</x:v>
      </x:c>
      <x:c r="C23" s="32" t="n">
        <x:v>0</x:v>
      </x:c>
      <x:c r="D23" s="32" t="str"/>
      <x:c r="E23" s="33" t="str"/>
    </x:row>
    <x:row r="24">
      <x:c r="A24" s="61" t="n">
        <x:v>46082</x:v>
      </x:c>
      <x:c r="B24" s="32" t="str">
        <x:v>Noirpress-Blanco</x:v>
      </x:c>
      <x:c r="C24" s="32" t="n">
        <x:v>0</x:v>
      </x:c>
      <x:c r="D24" s="32" t="str"/>
      <x:c r="E24" s="33" t="str"/>
    </x:row>
    <x:row r="25">
      <x:c r="A25" s="61" t="n">
        <x:v>46113</x:v>
      </x:c>
      <x:c r="B25" s="32" t="str">
        <x:v>Noirpress-Negro</x:v>
      </x:c>
      <x:c r="C25" s="32" t="n">
        <x:v>0</x:v>
      </x:c>
      <x:c r="D25" s="32" t="str"/>
      <x:c r="E25" s="33" t="str"/>
    </x:row>
    <x:row r="26">
      <x:c r="A26" s="61" t="n">
        <x:v>46113</x:v>
      </x:c>
      <x:c r="B26" s="32" t="str">
        <x:v>Noirpress-Blanco</x:v>
      </x:c>
      <x:c r="C26" s="32" t="n">
        <x:v>0</x:v>
      </x:c>
      <x:c r="D26" s="32" t="str"/>
      <x:c r="E26" s="33" t="str"/>
    </x:row>
    <x:row r="27">
      <x:c r="A27" s="61" t="n">
        <x:v>46143</x:v>
      </x:c>
      <x:c r="B27" s="32" t="str">
        <x:v>Noirpress-Negro</x:v>
      </x:c>
      <x:c r="C27" s="32" t="n">
        <x:v>0</x:v>
      </x:c>
      <x:c r="D27" s="32" t="str"/>
      <x:c r="E27" s="33" t="str"/>
    </x:row>
    <x:row r="28">
      <x:c r="A28" s="61" t="n">
        <x:v>46143</x:v>
      </x:c>
      <x:c r="B28" s="32" t="str">
        <x:v>Noirpress-Blanco</x:v>
      </x:c>
      <x:c r="C28" s="32" t="n">
        <x:v>0</x:v>
      </x:c>
      <x:c r="D28" s="32" t="str"/>
      <x:c r="E28" s="33" t="str"/>
    </x:row>
    <x:row r="29">
      <x:c r="A29" s="61" t="n">
        <x:v>46174</x:v>
      </x:c>
      <x:c r="B29" s="32" t="str">
        <x:v>Noirpress-Negro</x:v>
      </x:c>
      <x:c r="C29" s="32" t="n">
        <x:v>0</x:v>
      </x:c>
      <x:c r="D29" s="32" t="str"/>
      <x:c r="E29" s="33" t="str"/>
    </x:row>
    <x:row r="30">
      <x:c r="A30" s="61" t="n">
        <x:v>46174</x:v>
      </x:c>
      <x:c r="B30" s="32" t="str">
        <x:v>Noirpress-Blanco</x:v>
      </x:c>
      <x:c r="C30" s="32" t="n">
        <x:v>0</x:v>
      </x:c>
      <x:c r="D30" s="32" t="str"/>
      <x:c r="E30" s="33" t="str"/>
    </x:row>
    <x:row r="31">
      <x:c r="A31" s="61" t="n">
        <x:v>46204</x:v>
      </x:c>
      <x:c r="B31" s="32" t="str">
        <x:v>Noirpress-Negro</x:v>
      </x:c>
      <x:c r="C31" s="32" t="n">
        <x:v>0</x:v>
      </x:c>
      <x:c r="D31" s="32" t="str"/>
      <x:c r="E31" s="33" t="str"/>
    </x:row>
    <x:row r="32">
      <x:c r="A32" s="61" t="n">
        <x:v>46204</x:v>
      </x:c>
      <x:c r="B32" s="32" t="str">
        <x:v>Noirpress-Blanco</x:v>
      </x:c>
      <x:c r="C32" s="32" t="n">
        <x:v>0</x:v>
      </x:c>
      <x:c r="D32" s="32" t="str"/>
      <x:c r="E32" s="33" t="str"/>
    </x:row>
    <x:row r="33">
      <x:c r="A33" s="61" t="n">
        <x:v>46235</x:v>
      </x:c>
      <x:c r="B33" s="32" t="str">
        <x:v>Noirpress-Negro</x:v>
      </x:c>
      <x:c r="C33" s="32" t="n">
        <x:v>0</x:v>
      </x:c>
      <x:c r="D33" s="32" t="str"/>
      <x:c r="E33" s="33" t="str"/>
    </x:row>
    <x:row r="34">
      <x:c r="A34" s="61" t="n">
        <x:v>46235</x:v>
      </x:c>
      <x:c r="B34" s="32" t="str">
        <x:v>Noirpress-Blanco</x:v>
      </x:c>
      <x:c r="C34" s="32" t="n">
        <x:v>0</x:v>
      </x:c>
      <x:c r="D34" s="32" t="str"/>
      <x:c r="E34" s="33" t="str"/>
    </x:row>
    <x:row r="35">
      <x:c r="A35" s="61" t="n">
        <x:v>46266</x:v>
      </x:c>
      <x:c r="B35" s="32" t="str">
        <x:v>Noirpress-Negro</x:v>
      </x:c>
      <x:c r="C35" s="32" t="n">
        <x:v>0</x:v>
      </x:c>
      <x:c r="D35" s="32" t="str"/>
      <x:c r="E35" s="33" t="str"/>
    </x:row>
    <x:row r="36">
      <x:c r="A36" s="61" t="n">
        <x:v>46266</x:v>
      </x:c>
      <x:c r="B36" s="32" t="str">
        <x:v>Noirpress-Blanco</x:v>
      </x:c>
      <x:c r="C36" s="32" t="n">
        <x:v>0</x:v>
      </x:c>
      <x:c r="D36" s="32" t="str"/>
      <x:c r="E36" s="33" t="str"/>
    </x:row>
    <x:row r="37">
      <x:c r="A37" s="61" t="n">
        <x:v>46296</x:v>
      </x:c>
      <x:c r="B37" s="32" t="str">
        <x:v>Noirpress-Negro</x:v>
      </x:c>
      <x:c r="C37" s="32" t="n">
        <x:v>0</x:v>
      </x:c>
      <x:c r="D37" s="32" t="str"/>
      <x:c r="E37" s="33" t="str"/>
    </x:row>
    <x:row r="38">
      <x:c r="A38" s="61" t="n">
        <x:v>46296</x:v>
      </x:c>
      <x:c r="B38" s="32" t="str">
        <x:v>Noirpress-Blanco</x:v>
      </x:c>
      <x:c r="C38" s="32" t="n">
        <x:v>0</x:v>
      </x:c>
      <x:c r="D38" s="32" t="str"/>
      <x:c r="E38" s="33" t="str"/>
    </x:row>
    <x:row r="39">
      <x:c r="A39" s="61" t="n">
        <x:v>46327</x:v>
      </x:c>
      <x:c r="B39" s="32" t="str">
        <x:v>Noirpress-Negro</x:v>
      </x:c>
      <x:c r="C39" s="32" t="n">
        <x:v>0</x:v>
      </x:c>
      <x:c r="D39" s="32" t="str"/>
      <x:c r="E39" s="33" t="str"/>
    </x:row>
    <x:row r="40">
      <x:c r="A40" s="61" t="n">
        <x:v>46327</x:v>
      </x:c>
      <x:c r="B40" s="32" t="str">
        <x:v>Noirpress-Blanco</x:v>
      </x:c>
      <x:c r="C40" s="32" t="n">
        <x:v>0</x:v>
      </x:c>
      <x:c r="D40" s="32" t="str"/>
      <x:c r="E40" s="33" t="str"/>
    </x:row>
    <x:row r="41">
      <x:c r="A41" s="61" t="n">
        <x:v>46357</x:v>
      </x:c>
      <x:c r="B41" s="32" t="str">
        <x:v>Noirpress-Negro</x:v>
      </x:c>
      <x:c r="C41" s="32" t="n">
        <x:v>0</x:v>
      </x:c>
      <x:c r="D41" s="32" t="str"/>
      <x:c r="E41" s="33" t="str"/>
    </x:row>
    <x:row r="42">
      <x:c r="A42" s="62" t="n">
        <x:v>46357</x:v>
      </x:c>
      <x:c r="B42" s="36" t="str">
        <x:v>Noirpress-Blanco</x:v>
      </x:c>
      <x:c r="C42" s="36" t="n">
        <x:v>0</x:v>
      </x:c>
      <x:c r="D42" s="36" t="str"/>
      <x:c r="E42" s="40" t="str"/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7520220980a046e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0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4" hidden="0" customWidth="1"/>
    <x:col min="8" max="8" width="17" hidden="0" customWidth="1"/>
    <x:col min="9" max="9" width="34" hidden="0" customWidth="1"/>
  </x:cols>
  <x:sheetData>
    <x:row r="1" ht="30" customHeight="1">
      <x:c r="A1" s="4" t="str">
        <x:v>Control mensual de stock y posibles quiebres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66" t="str">
        <x:v>El control usa stock acumulado al cierre de cada mes. Un saldo negativo confirma faltante; saldo cero indica riesgo/quiebre al cierre.</x:v>
      </x:c>
      <x:c r="B2" s="66"/>
      <x:c r="C2" s="66"/>
      <x:c r="D2" s="66"/>
      <x:c r="E2" s="66"/>
      <x:c r="F2" s="66"/>
      <x:c r="G2" s="66"/>
      <x:c r="H2" s="66"/>
      <x:c r="I2" s="66"/>
    </x:row>
    <x:row r="4">
      <x:c r="A4" s="28" t="str">
        <x:v>Mes</x:v>
      </x:c>
      <x:c r="B4" s="29" t="str">
        <x:v>SKU</x:v>
      </x:c>
      <x:c r="C4" s="29" t="str">
        <x:v>Ingresos</x:v>
      </x:c>
      <x:c r="D4" s="29" t="str">
        <x:v>Ventas</x:v>
      </x:c>
      <x:c r="E4" s="29" t="str">
        <x:v>Stock inicial</x:v>
      </x:c>
      <x:c r="F4" s="29" t="str">
        <x:v>Stock final</x:v>
      </x:c>
      <x:c r="G4" s="29" t="str">
        <x:v>Estado</x:v>
      </x:c>
      <x:c r="H4" s="29" t="str">
        <x:v>Días desde último pedido</x:v>
      </x:c>
      <x:c r="I4" s="30" t="str">
        <x:v>Comentario</x:v>
      </x:c>
    </x:row>
    <x:row r="5">
      <x:c r="A5" s="61" t="n">
        <x:v>45809</x:v>
      </x:c>
      <x:c r="B5" s="32" t="str">
        <x:v>Noirpress-Negro</x:v>
      </x:c>
      <x:c r="C5" s="69" t="n">
        <x:f>SUMIFS(Ingresos!$E$5:$E$14,Ingresos!$C$5:$C$14,B5,Ingresos!$B$5:$B$14,"&gt;="&amp;A5,Ingresos!$B$5:$B$14,"&lt;"&amp;EDATE(A5,1))</x:f>
        <x:v>2</x:v>
      </x:c>
      <x:c r="D5" s="69" t="n">
        <x:f>SUMIFS('Ventas Mensuales'!$C$5:$C$42,'Ventas Mensuales'!$A$5:$A$42,A5,'Ventas Mensuales'!$B$5:$B$42,B5)</x:f>
        <x:v>0</x:v>
      </x:c>
      <x:c r="E5" s="69" t="n">
        <x:f>IF(ROW()&lt;=6,0,F3)</x:f>
        <x:v>0</x:v>
      </x:c>
      <x:c r="F5" s="69" t="n">
        <x:f>E5+C5-D5</x:f>
        <x:v>2</x:v>
      </x:c>
      <x:c r="G5" s="69" t="str">
        <x:f>IF(F5&lt;0,"QUIEBRE",IF(F5=0,"SIN STOCK","OK"))</x:f>
        <x:v>OK</x:v>
      </x:c>
      <x:c r="H5" s="69" t="n">
        <x:f>IFERROR(EOMONTH(A5,0)-MAXIFS(Ingresos!$B$5:$B$14,Ingresos!$C$5:$C$14,B5,Ingresos!$D$5:$D$14,"Comercial",Ingresos!$B$5:$B$14,"&lt;="&amp;EOMONTH(A5,0)),"")</x:f>
        <x:v>45838</x:v>
      </x:c>
      <x:c r="I5" s="33" t="str">
        <x:f>IF(G5="QUIEBRE","Ventas superaron el stock acumulado",IF(G5="SIN STOCK","Revisar fecha exacta del agotamiento","Stock disponible al cierre"))</x:f>
        <x:v>Stock disponible al cierre</x:v>
      </x:c>
    </x:row>
    <x:row r="6">
      <x:c r="A6" s="61" t="n">
        <x:v>45809</x:v>
      </x:c>
      <x:c r="B6" s="32" t="str">
        <x:v>Noirpress-Blanco</x:v>
      </x:c>
      <x:c r="C6" s="69" t="n">
        <x:f>SUMIFS(Ingresos!$E$5:$E$14,Ingresos!$C$5:$C$14,B6,Ingresos!$B$5:$B$14,"&gt;="&amp;A6,Ingresos!$B$5:$B$14,"&lt;"&amp;EDATE(A6,1))</x:f>
        <x:v>0</x:v>
      </x:c>
      <x:c r="D6" s="69" t="n">
        <x:f>SUMIFS('Ventas Mensuales'!$C$5:$C$42,'Ventas Mensuales'!$A$5:$A$42,A6,'Ventas Mensuales'!$B$5:$B$42,B6)</x:f>
        <x:v>0</x:v>
      </x:c>
      <x:c r="E6" s="69" t="n">
        <x:f>IF(ROW()&lt;=6,0,F4)</x:f>
        <x:v>0</x:v>
      </x:c>
      <x:c r="F6" s="69" t="n">
        <x:f>E6+C6-D6</x:f>
        <x:v>0</x:v>
      </x:c>
      <x:c r="G6" s="69" t="str">
        <x:f>IF(F6&lt;0,"QUIEBRE",IF(F6=0,"SIN STOCK","OK"))</x:f>
        <x:v>SIN STOCK</x:v>
      </x:c>
      <x:c r="H6" s="69" t="n">
        <x:f>IFERROR(EOMONTH(A6,0)-MAXIFS(Ingresos!$B$5:$B$14,Ingresos!$C$5:$C$14,B6,Ingresos!$D$5:$D$14,"Comercial",Ingresos!$B$5:$B$14,"&lt;="&amp;EOMONTH(A6,0)),"")</x:f>
        <x:v>45838</x:v>
      </x:c>
      <x:c r="I6" s="33" t="str">
        <x:f>IF(G6="QUIEBRE","Ventas superaron el stock acumulado",IF(G6="SIN STOCK","Revisar fecha exacta del agotamiento","Stock disponible al cierre"))</x:f>
        <x:v>Revisar fecha exacta del agotamiento</x:v>
      </x:c>
    </x:row>
    <x:row r="7">
      <x:c r="A7" s="61" t="n">
        <x:v>45839</x:v>
      </x:c>
      <x:c r="B7" s="32" t="str">
        <x:v>Noirpress-Negro</x:v>
      </x:c>
      <x:c r="C7" s="69" t="n">
        <x:f>SUMIFS(Ingresos!$E$5:$E$14,Ingresos!$C$5:$C$14,B7,Ingresos!$B$5:$B$14,"&gt;="&amp;A7,Ingresos!$B$5:$B$14,"&lt;"&amp;EDATE(A7,1))</x:f>
        <x:v>24</x:v>
      </x:c>
      <x:c r="D7" s="69" t="n">
        <x:f>SUMIFS('Ventas Mensuales'!$C$5:$C$42,'Ventas Mensuales'!$A$5:$A$42,A7,'Ventas Mensuales'!$B$5:$B$42,B7)</x:f>
        <x:v>0</x:v>
      </x:c>
      <x:c r="E7" s="69" t="n">
        <x:f>IF(ROW()&lt;=6,0,F5)</x:f>
        <x:v>2</x:v>
      </x:c>
      <x:c r="F7" s="69" t="n">
        <x:f>E7+C7-D7</x:f>
        <x:v>26</x:v>
      </x:c>
      <x:c r="G7" s="69" t="str">
        <x:f>IF(F7&lt;0,"QUIEBRE",IF(F7=0,"SIN STOCK","OK"))</x:f>
        <x:v>OK</x:v>
      </x:c>
      <x:c r="H7" s="69" t="n">
        <x:f>IFERROR(EOMONTH(A7,0)-MAXIFS(Ingresos!$B$5:$B$14,Ingresos!$C$5:$C$14,B7,Ingresos!$D$5:$D$14,"Comercial",Ingresos!$B$5:$B$14,"&lt;="&amp;EOMONTH(A7,0)),"")</x:f>
        <x:v>5</x:v>
      </x:c>
      <x:c r="I7" s="33" t="str">
        <x:f>IF(G7="QUIEBRE","Ventas superaron el stock acumulado",IF(G7="SIN STOCK","Revisar fecha exacta del agotamiento","Stock disponible al cierre"))</x:f>
        <x:v>Stock disponible al cierre</x:v>
      </x:c>
    </x:row>
    <x:row r="8">
      <x:c r="A8" s="61" t="n">
        <x:v>45839</x:v>
      </x:c>
      <x:c r="B8" s="32" t="str">
        <x:v>Noirpress-Blanco</x:v>
      </x:c>
      <x:c r="C8" s="69" t="n">
        <x:f>SUMIFS(Ingresos!$E$5:$E$14,Ingresos!$C$5:$C$14,B8,Ingresos!$B$5:$B$14,"&gt;="&amp;A8,Ingresos!$B$5:$B$14,"&lt;"&amp;EDATE(A8,1))</x:f>
        <x:v>24</x:v>
      </x:c>
      <x:c r="D8" s="69" t="n">
        <x:f>SUMIFS('Ventas Mensuales'!$C$5:$C$42,'Ventas Mensuales'!$A$5:$A$42,A8,'Ventas Mensuales'!$B$5:$B$42,B8)</x:f>
        <x:v>0</x:v>
      </x:c>
      <x:c r="E8" s="69" t="n">
        <x:f>IF(ROW()&lt;=6,0,F6)</x:f>
        <x:v>0</x:v>
      </x:c>
      <x:c r="F8" s="69" t="n">
        <x:f>E8+C8-D8</x:f>
        <x:v>24</x:v>
      </x:c>
      <x:c r="G8" s="69" t="str">
        <x:f>IF(F8&lt;0,"QUIEBRE",IF(F8=0,"SIN STOCK","OK"))</x:f>
        <x:v>OK</x:v>
      </x:c>
      <x:c r="H8" s="69" t="n">
        <x:f>IFERROR(EOMONTH(A8,0)-MAXIFS(Ingresos!$B$5:$B$14,Ingresos!$C$5:$C$14,B8,Ingresos!$D$5:$D$14,"Comercial",Ingresos!$B$5:$B$14,"&lt;="&amp;EOMONTH(A8,0)),"")</x:f>
        <x:v>5</x:v>
      </x:c>
      <x:c r="I8" s="33" t="str">
        <x:f>IF(G8="QUIEBRE","Ventas superaron el stock acumulado",IF(G8="SIN STOCK","Revisar fecha exacta del agotamiento","Stock disponible al cierre"))</x:f>
        <x:v>Stock disponible al cierre</x:v>
      </x:c>
    </x:row>
    <x:row r="9">
      <x:c r="A9" s="61" t="n">
        <x:v>45870</x:v>
      </x:c>
      <x:c r="B9" s="32" t="str">
        <x:v>Noirpress-Negro</x:v>
      </x:c>
      <x:c r="C9" s="69" t="n">
        <x:f>SUMIFS(Ingresos!$E$5:$E$14,Ingresos!$C$5:$C$14,B9,Ingresos!$B$5:$B$14,"&gt;="&amp;A9,Ingresos!$B$5:$B$14,"&lt;"&amp;EDATE(A9,1))</x:f>
        <x:v>0</x:v>
      </x:c>
      <x:c r="D9" s="69" t="n">
        <x:f>SUMIFS('Ventas Mensuales'!$C$5:$C$42,'Ventas Mensuales'!$A$5:$A$42,A9,'Ventas Mensuales'!$B$5:$B$42,B9)</x:f>
        <x:v>0</x:v>
      </x:c>
      <x:c r="E9" s="69" t="n">
        <x:f>IF(ROW()&lt;=6,0,F7)</x:f>
        <x:v>26</x:v>
      </x:c>
      <x:c r="F9" s="69" t="n">
        <x:f>E9+C9-D9</x:f>
        <x:v>26</x:v>
      </x:c>
      <x:c r="G9" s="69" t="str">
        <x:f>IF(F9&lt;0,"QUIEBRE",IF(F9=0,"SIN STOCK","OK"))</x:f>
        <x:v>OK</x:v>
      </x:c>
      <x:c r="H9" s="69" t="n">
        <x:f>IFERROR(EOMONTH(A9,0)-MAXIFS(Ingresos!$B$5:$B$14,Ingresos!$C$5:$C$14,B9,Ingresos!$D$5:$D$14,"Comercial",Ingresos!$B$5:$B$14,"&lt;="&amp;EOMONTH(A9,0)),"")</x:f>
        <x:v>36</x:v>
      </x:c>
      <x:c r="I9" s="33" t="str">
        <x:f>IF(G9="QUIEBRE","Ventas superaron el stock acumulado",IF(G9="SIN STOCK","Revisar fecha exacta del agotamiento","Stock disponible al cierre"))</x:f>
        <x:v>Stock disponible al cierre</x:v>
      </x:c>
    </x:row>
    <x:row r="10">
      <x:c r="A10" s="61" t="n">
        <x:v>45870</x:v>
      </x:c>
      <x:c r="B10" s="32" t="str">
        <x:v>Noirpress-Blanco</x:v>
      </x:c>
      <x:c r="C10" s="69" t="n">
        <x:f>SUMIFS(Ingresos!$E$5:$E$14,Ingresos!$C$5:$C$14,B10,Ingresos!$B$5:$B$14,"&gt;="&amp;A10,Ingresos!$B$5:$B$14,"&lt;"&amp;EDATE(A10,1))</x:f>
        <x:v>0</x:v>
      </x:c>
      <x:c r="D10" s="69" t="n">
        <x:f>SUMIFS('Ventas Mensuales'!$C$5:$C$42,'Ventas Mensuales'!$A$5:$A$42,A10,'Ventas Mensuales'!$B$5:$B$42,B10)</x:f>
        <x:v>0</x:v>
      </x:c>
      <x:c r="E10" s="69" t="n">
        <x:f>IF(ROW()&lt;=6,0,F8)</x:f>
        <x:v>24</x:v>
      </x:c>
      <x:c r="F10" s="69" t="n">
        <x:f>E10+C10-D10</x:f>
        <x:v>24</x:v>
      </x:c>
      <x:c r="G10" s="69" t="str">
        <x:f>IF(F10&lt;0,"QUIEBRE",IF(F10=0,"SIN STOCK","OK"))</x:f>
        <x:v>OK</x:v>
      </x:c>
      <x:c r="H10" s="69" t="n">
        <x:f>IFERROR(EOMONTH(A10,0)-MAXIFS(Ingresos!$B$5:$B$14,Ingresos!$C$5:$C$14,B10,Ingresos!$D$5:$D$14,"Comercial",Ingresos!$B$5:$B$14,"&lt;="&amp;EOMONTH(A10,0)),"")</x:f>
        <x:v>36</x:v>
      </x:c>
      <x:c r="I10" s="33" t="str">
        <x:f>IF(G10="QUIEBRE","Ventas superaron el stock acumulado",IF(G10="SIN STOCK","Revisar fecha exacta del agotamiento","Stock disponible al cierre"))</x:f>
        <x:v>Stock disponible al cierre</x:v>
      </x:c>
    </x:row>
    <x:row r="11">
      <x:c r="A11" s="61" t="n">
        <x:v>45901</x:v>
      </x:c>
      <x:c r="B11" s="32" t="str">
        <x:v>Noirpress-Negro</x:v>
      </x:c>
      <x:c r="C11" s="69" t="n">
        <x:f>SUMIFS(Ingresos!$E$5:$E$14,Ingresos!$C$5:$C$14,B11,Ingresos!$B$5:$B$14,"&gt;="&amp;A11,Ingresos!$B$5:$B$14,"&lt;"&amp;EDATE(A11,1))</x:f>
        <x:v>0</x:v>
      </x:c>
      <x:c r="D11" s="69" t="n">
        <x:f>SUMIFS('Ventas Mensuales'!$C$5:$C$42,'Ventas Mensuales'!$A$5:$A$42,A11,'Ventas Mensuales'!$B$5:$B$42,B11)</x:f>
        <x:v>0</x:v>
      </x:c>
      <x:c r="E11" s="69" t="n">
        <x:f>IF(ROW()&lt;=6,0,F9)</x:f>
        <x:v>26</x:v>
      </x:c>
      <x:c r="F11" s="69" t="n">
        <x:f>E11+C11-D11</x:f>
        <x:v>26</x:v>
      </x:c>
      <x:c r="G11" s="69" t="str">
        <x:f>IF(F11&lt;0,"QUIEBRE",IF(F11=0,"SIN STOCK","OK"))</x:f>
        <x:v>OK</x:v>
      </x:c>
      <x:c r="H11" s="69" t="n">
        <x:f>IFERROR(EOMONTH(A11,0)-MAXIFS(Ingresos!$B$5:$B$14,Ingresos!$C$5:$C$14,B11,Ingresos!$D$5:$D$14,"Comercial",Ingresos!$B$5:$B$14,"&lt;="&amp;EOMONTH(A11,0)),"")</x:f>
        <x:v>66</x:v>
      </x:c>
      <x:c r="I11" s="33" t="str">
        <x:f>IF(G11="QUIEBRE","Ventas superaron el stock acumulado",IF(G11="SIN STOCK","Revisar fecha exacta del agotamiento","Stock disponible al cierre"))</x:f>
        <x:v>Stock disponible al cierre</x:v>
      </x:c>
    </x:row>
    <x:row r="12">
      <x:c r="A12" s="61" t="n">
        <x:v>45901</x:v>
      </x:c>
      <x:c r="B12" s="32" t="str">
        <x:v>Noirpress-Blanco</x:v>
      </x:c>
      <x:c r="C12" s="69" t="n">
        <x:f>SUMIFS(Ingresos!$E$5:$E$14,Ingresos!$C$5:$C$14,B12,Ingresos!$B$5:$B$14,"&gt;="&amp;A12,Ingresos!$B$5:$B$14,"&lt;"&amp;EDATE(A12,1))</x:f>
        <x:v>0</x:v>
      </x:c>
      <x:c r="D12" s="69" t="n">
        <x:f>SUMIFS('Ventas Mensuales'!$C$5:$C$42,'Ventas Mensuales'!$A$5:$A$42,A12,'Ventas Mensuales'!$B$5:$B$42,B12)</x:f>
        <x:v>0</x:v>
      </x:c>
      <x:c r="E12" s="69" t="n">
        <x:f>IF(ROW()&lt;=6,0,F10)</x:f>
        <x:v>24</x:v>
      </x:c>
      <x:c r="F12" s="69" t="n">
        <x:f>E12+C12-D12</x:f>
        <x:v>24</x:v>
      </x:c>
      <x:c r="G12" s="69" t="str">
        <x:f>IF(F12&lt;0,"QUIEBRE",IF(F12=0,"SIN STOCK","OK"))</x:f>
        <x:v>OK</x:v>
      </x:c>
      <x:c r="H12" s="69" t="n">
        <x:f>IFERROR(EOMONTH(A12,0)-MAXIFS(Ingresos!$B$5:$B$14,Ingresos!$C$5:$C$14,B12,Ingresos!$D$5:$D$14,"Comercial",Ingresos!$B$5:$B$14,"&lt;="&amp;EOMONTH(A12,0)),"")</x:f>
        <x:v>66</x:v>
      </x:c>
      <x:c r="I12" s="33" t="str">
        <x:f>IF(G12="QUIEBRE","Ventas superaron el stock acumulado",IF(G12="SIN STOCK","Revisar fecha exacta del agotamiento","Stock disponible al cierre"))</x:f>
        <x:v>Stock disponible al cierre</x:v>
      </x:c>
    </x:row>
    <x:row r="13">
      <x:c r="A13" s="61" t="n">
        <x:v>45931</x:v>
      </x:c>
      <x:c r="B13" s="32" t="str">
        <x:v>Noirpress-Negro</x:v>
      </x:c>
      <x:c r="C13" s="69" t="n">
        <x:f>SUMIFS(Ingresos!$E$5:$E$14,Ingresos!$C$5:$C$14,B13,Ingresos!$B$5:$B$14,"&gt;="&amp;A13,Ingresos!$B$5:$B$14,"&lt;"&amp;EDATE(A13,1))</x:f>
        <x:v>0</x:v>
      </x:c>
      <x:c r="D13" s="69" t="n">
        <x:f>SUMIFS('Ventas Mensuales'!$C$5:$C$42,'Ventas Mensuales'!$A$5:$A$42,A13,'Ventas Mensuales'!$B$5:$B$42,B13)</x:f>
        <x:v>0</x:v>
      </x:c>
      <x:c r="E13" s="69" t="n">
        <x:f>IF(ROW()&lt;=6,0,F11)</x:f>
        <x:v>26</x:v>
      </x:c>
      <x:c r="F13" s="69" t="n">
        <x:f>E13+C13-D13</x:f>
        <x:v>26</x:v>
      </x:c>
      <x:c r="G13" s="69" t="str">
        <x:f>IF(F13&lt;0,"QUIEBRE",IF(F13=0,"SIN STOCK","OK"))</x:f>
        <x:v>OK</x:v>
      </x:c>
      <x:c r="H13" s="69" t="n">
        <x:f>IFERROR(EOMONTH(A13,0)-MAXIFS(Ingresos!$B$5:$B$14,Ingresos!$C$5:$C$14,B13,Ingresos!$D$5:$D$14,"Comercial",Ingresos!$B$5:$B$14,"&lt;="&amp;EOMONTH(A13,0)),"")</x:f>
        <x:v>97</x:v>
      </x:c>
      <x:c r="I13" s="33" t="str">
        <x:f>IF(G13="QUIEBRE","Ventas superaron el stock acumulado",IF(G13="SIN STOCK","Revisar fecha exacta del agotamiento","Stock disponible al cierre"))</x:f>
        <x:v>Stock disponible al cierre</x:v>
      </x:c>
    </x:row>
    <x:row r="14">
      <x:c r="A14" s="61" t="n">
        <x:v>45931</x:v>
      </x:c>
      <x:c r="B14" s="32" t="str">
        <x:v>Noirpress-Blanco</x:v>
      </x:c>
      <x:c r="C14" s="69" t="n">
        <x:f>SUMIFS(Ingresos!$E$5:$E$14,Ingresos!$C$5:$C$14,B14,Ingresos!$B$5:$B$14,"&gt;="&amp;A14,Ingresos!$B$5:$B$14,"&lt;"&amp;EDATE(A14,1))</x:f>
        <x:v>0</x:v>
      </x:c>
      <x:c r="D14" s="69" t="n">
        <x:f>SUMIFS('Ventas Mensuales'!$C$5:$C$42,'Ventas Mensuales'!$A$5:$A$42,A14,'Ventas Mensuales'!$B$5:$B$42,B14)</x:f>
        <x:v>0</x:v>
      </x:c>
      <x:c r="E14" s="69" t="n">
        <x:f>IF(ROW()&lt;=6,0,F12)</x:f>
        <x:v>24</x:v>
      </x:c>
      <x:c r="F14" s="69" t="n">
        <x:f>E14+C14-D14</x:f>
        <x:v>24</x:v>
      </x:c>
      <x:c r="G14" s="69" t="str">
        <x:f>IF(F14&lt;0,"QUIEBRE",IF(F14=0,"SIN STOCK","OK"))</x:f>
        <x:v>OK</x:v>
      </x:c>
      <x:c r="H14" s="69" t="n">
        <x:f>IFERROR(EOMONTH(A14,0)-MAXIFS(Ingresos!$B$5:$B$14,Ingresos!$C$5:$C$14,B14,Ingresos!$D$5:$D$14,"Comercial",Ingresos!$B$5:$B$14,"&lt;="&amp;EOMONTH(A14,0)),"")</x:f>
        <x:v>97</x:v>
      </x:c>
      <x:c r="I14" s="33" t="str">
        <x:f>IF(G14="QUIEBRE","Ventas superaron el stock acumulado",IF(G14="SIN STOCK","Revisar fecha exacta del agotamiento","Stock disponible al cierre"))</x:f>
        <x:v>Stock disponible al cierre</x:v>
      </x:c>
    </x:row>
    <x:row r="15">
      <x:c r="A15" s="61" t="n">
        <x:v>45962</x:v>
      </x:c>
      <x:c r="B15" s="32" t="str">
        <x:v>Noirpress-Negro</x:v>
      </x:c>
      <x:c r="C15" s="69" t="n">
        <x:f>SUMIFS(Ingresos!$E$5:$E$14,Ingresos!$C$5:$C$14,B15,Ingresos!$B$5:$B$14,"&gt;="&amp;A15,Ingresos!$B$5:$B$14,"&lt;"&amp;EDATE(A15,1))</x:f>
        <x:v>48</x:v>
      </x:c>
      <x:c r="D15" s="69" t="n">
        <x:f>SUMIFS('Ventas Mensuales'!$C$5:$C$42,'Ventas Mensuales'!$A$5:$A$42,A15,'Ventas Mensuales'!$B$5:$B$42,B15)</x:f>
        <x:v>0</x:v>
      </x:c>
      <x:c r="E15" s="69" t="n">
        <x:f>IF(ROW()&lt;=6,0,F13)</x:f>
        <x:v>26</x:v>
      </x:c>
      <x:c r="F15" s="69" t="n">
        <x:f>E15+C15-D15</x:f>
        <x:v>74</x:v>
      </x:c>
      <x:c r="G15" s="69" t="str">
        <x:f>IF(F15&lt;0,"QUIEBRE",IF(F15=0,"SIN STOCK","OK"))</x:f>
        <x:v>OK</x:v>
      </x:c>
      <x:c r="H15" s="69" t="n">
        <x:f>IFERROR(EOMONTH(A15,0)-MAXIFS(Ingresos!$B$5:$B$14,Ingresos!$C$5:$C$14,B15,Ingresos!$D$5:$D$14,"Comercial",Ingresos!$B$5:$B$14,"&lt;="&amp;EOMONTH(A15,0)),"")</x:f>
        <x:v>24</x:v>
      </x:c>
      <x:c r="I15" s="33" t="str">
        <x:f>IF(G15="QUIEBRE","Ventas superaron el stock acumulado",IF(G15="SIN STOCK","Revisar fecha exacta del agotamiento","Stock disponible al cierre"))</x:f>
        <x:v>Stock disponible al cierre</x:v>
      </x:c>
    </x:row>
    <x:row r="16">
      <x:c r="A16" s="61" t="n">
        <x:v>45962</x:v>
      </x:c>
      <x:c r="B16" s="32" t="str">
        <x:v>Noirpress-Blanco</x:v>
      </x:c>
      <x:c r="C16" s="69" t="n">
        <x:f>SUMIFS(Ingresos!$E$5:$E$14,Ingresos!$C$5:$C$14,B16,Ingresos!$B$5:$B$14,"&gt;="&amp;A16,Ingresos!$B$5:$B$14,"&lt;"&amp;EDATE(A16,1))</x:f>
        <x:v>0</x:v>
      </x:c>
      <x:c r="D16" s="69" t="n">
        <x:f>SUMIFS('Ventas Mensuales'!$C$5:$C$42,'Ventas Mensuales'!$A$5:$A$42,A16,'Ventas Mensuales'!$B$5:$B$42,B16)</x:f>
        <x:v>0</x:v>
      </x:c>
      <x:c r="E16" s="69" t="n">
        <x:f>IF(ROW()&lt;=6,0,F14)</x:f>
        <x:v>24</x:v>
      </x:c>
      <x:c r="F16" s="69" t="n">
        <x:f>E16+C16-D16</x:f>
        <x:v>24</x:v>
      </x:c>
      <x:c r="G16" s="69" t="str">
        <x:f>IF(F16&lt;0,"QUIEBRE",IF(F16=0,"SIN STOCK","OK"))</x:f>
        <x:v>OK</x:v>
      </x:c>
      <x:c r="H16" s="69" t="n">
        <x:f>IFERROR(EOMONTH(A16,0)-MAXIFS(Ingresos!$B$5:$B$14,Ingresos!$C$5:$C$14,B16,Ingresos!$D$5:$D$14,"Comercial",Ingresos!$B$5:$B$14,"&lt;="&amp;EOMONTH(A16,0)),"")</x:f>
        <x:v>127</x:v>
      </x:c>
      <x:c r="I16" s="33" t="str">
        <x:f>IF(G16="QUIEBRE","Ventas superaron el stock acumulado",IF(G16="SIN STOCK","Revisar fecha exacta del agotamiento","Stock disponible al cierre"))</x:f>
        <x:v>Stock disponible al cierre</x:v>
      </x:c>
    </x:row>
    <x:row r="17">
      <x:c r="A17" s="61" t="n">
        <x:v>45992</x:v>
      </x:c>
      <x:c r="B17" s="32" t="str">
        <x:v>Noirpress-Negro</x:v>
      </x:c>
      <x:c r="C17" s="69" t="n">
        <x:f>SUMIFS(Ingresos!$E$5:$E$14,Ingresos!$C$5:$C$14,B17,Ingresos!$B$5:$B$14,"&gt;="&amp;A17,Ingresos!$B$5:$B$14,"&lt;"&amp;EDATE(A17,1))</x:f>
        <x:v>0</x:v>
      </x:c>
      <x:c r="D17" s="69" t="n">
        <x:f>SUMIFS('Ventas Mensuales'!$C$5:$C$42,'Ventas Mensuales'!$A$5:$A$42,A17,'Ventas Mensuales'!$B$5:$B$42,B17)</x:f>
        <x:v>0</x:v>
      </x:c>
      <x:c r="E17" s="69" t="n">
        <x:f>IF(ROW()&lt;=6,0,F15)</x:f>
        <x:v>74</x:v>
      </x:c>
      <x:c r="F17" s="69" t="n">
        <x:f>E17+C17-D17</x:f>
        <x:v>74</x:v>
      </x:c>
      <x:c r="G17" s="69" t="str">
        <x:f>IF(F17&lt;0,"QUIEBRE",IF(F17=0,"SIN STOCK","OK"))</x:f>
        <x:v>OK</x:v>
      </x:c>
      <x:c r="H17" s="69" t="n">
        <x:f>IFERROR(EOMONTH(A17,0)-MAXIFS(Ingresos!$B$5:$B$14,Ingresos!$C$5:$C$14,B17,Ingresos!$D$5:$D$14,"Comercial",Ingresos!$B$5:$B$14,"&lt;="&amp;EOMONTH(A17,0)),"")</x:f>
        <x:v>55</x:v>
      </x:c>
      <x:c r="I17" s="33" t="str">
        <x:f>IF(G17="QUIEBRE","Ventas superaron el stock acumulado",IF(G17="SIN STOCK","Revisar fecha exacta del agotamiento","Stock disponible al cierre"))</x:f>
        <x:v>Stock disponible al cierre</x:v>
      </x:c>
    </x:row>
    <x:row r="18">
      <x:c r="A18" s="61" t="n">
        <x:v>45992</x:v>
      </x:c>
      <x:c r="B18" s="32" t="str">
        <x:v>Noirpress-Blanco</x:v>
      </x:c>
      <x:c r="C18" s="69" t="n">
        <x:f>SUMIFS(Ingresos!$E$5:$E$14,Ingresos!$C$5:$C$14,B18,Ingresos!$B$5:$B$14,"&gt;="&amp;A18,Ingresos!$B$5:$B$14,"&lt;"&amp;EDATE(A18,1))</x:f>
        <x:v>0</x:v>
      </x:c>
      <x:c r="D18" s="69" t="n">
        <x:f>SUMIFS('Ventas Mensuales'!$C$5:$C$42,'Ventas Mensuales'!$A$5:$A$42,A18,'Ventas Mensuales'!$B$5:$B$42,B18)</x:f>
        <x:v>0</x:v>
      </x:c>
      <x:c r="E18" s="69" t="n">
        <x:f>IF(ROW()&lt;=6,0,F16)</x:f>
        <x:v>24</x:v>
      </x:c>
      <x:c r="F18" s="69" t="n">
        <x:f>E18+C18-D18</x:f>
        <x:v>24</x:v>
      </x:c>
      <x:c r="G18" s="69" t="str">
        <x:f>IF(F18&lt;0,"QUIEBRE",IF(F18=0,"SIN STOCK","OK"))</x:f>
        <x:v>OK</x:v>
      </x:c>
      <x:c r="H18" s="69" t="n">
        <x:f>IFERROR(EOMONTH(A18,0)-MAXIFS(Ingresos!$B$5:$B$14,Ingresos!$C$5:$C$14,B18,Ingresos!$D$5:$D$14,"Comercial",Ingresos!$B$5:$B$14,"&lt;="&amp;EOMONTH(A18,0)),"")</x:f>
        <x:v>158</x:v>
      </x:c>
      <x:c r="I18" s="33" t="str">
        <x:f>IF(G18="QUIEBRE","Ventas superaron el stock acumulado",IF(G18="SIN STOCK","Revisar fecha exacta del agotamiento","Stock disponible al cierre"))</x:f>
        <x:v>Stock disponible al cierre</x:v>
      </x:c>
    </x:row>
    <x:row r="19">
      <x:c r="A19" s="61" t="n">
        <x:v>46023</x:v>
      </x:c>
      <x:c r="B19" s="32" t="str">
        <x:v>Noirpress-Negro</x:v>
      </x:c>
      <x:c r="C19" s="69" t="n">
        <x:f>SUMIFS(Ingresos!$E$5:$E$14,Ingresos!$C$5:$C$14,B19,Ingresos!$B$5:$B$14,"&gt;="&amp;A19,Ingresos!$B$5:$B$14,"&lt;"&amp;EDATE(A19,1))</x:f>
        <x:v>48</x:v>
      </x:c>
      <x:c r="D19" s="69" t="n">
        <x:f>SUMIFS('Ventas Mensuales'!$C$5:$C$42,'Ventas Mensuales'!$A$5:$A$42,A19,'Ventas Mensuales'!$B$5:$B$42,B19)</x:f>
        <x:v>0</x:v>
      </x:c>
      <x:c r="E19" s="69" t="n">
        <x:f>IF(ROW()&lt;=6,0,F17)</x:f>
        <x:v>74</x:v>
      </x:c>
      <x:c r="F19" s="69" t="n">
        <x:f>E19+C19-D19</x:f>
        <x:v>122</x:v>
      </x:c>
      <x:c r="G19" s="69" t="str">
        <x:f>IF(F19&lt;0,"QUIEBRE",IF(F19=0,"SIN STOCK","OK"))</x:f>
        <x:v>OK</x:v>
      </x:c>
      <x:c r="H19" s="69" t="n">
        <x:f>IFERROR(EOMONTH(A19,0)-MAXIFS(Ingresos!$B$5:$B$14,Ingresos!$C$5:$C$14,B19,Ingresos!$D$5:$D$14,"Comercial",Ingresos!$B$5:$B$14,"&lt;="&amp;EOMONTH(A19,0)),"")</x:f>
        <x:v>13</x:v>
      </x:c>
      <x:c r="I19" s="33" t="str">
        <x:f>IF(G19="QUIEBRE","Ventas superaron el stock acumulado",IF(G19="SIN STOCK","Revisar fecha exacta del agotamiento","Stock disponible al cierre"))</x:f>
        <x:v>Stock disponible al cierre</x:v>
      </x:c>
    </x:row>
    <x:row r="20">
      <x:c r="A20" s="61" t="n">
        <x:v>46023</x:v>
      </x:c>
      <x:c r="B20" s="32" t="str">
        <x:v>Noirpress-Blanco</x:v>
      </x:c>
      <x:c r="C20" s="69" t="n">
        <x:f>SUMIFS(Ingresos!$E$5:$E$14,Ingresos!$C$5:$C$14,B20,Ingresos!$B$5:$B$14,"&gt;="&amp;A20,Ingresos!$B$5:$B$14,"&lt;"&amp;EDATE(A20,1))</x:f>
        <x:v>0</x:v>
      </x:c>
      <x:c r="D20" s="69" t="n">
        <x:f>SUMIFS('Ventas Mensuales'!$C$5:$C$42,'Ventas Mensuales'!$A$5:$A$42,A20,'Ventas Mensuales'!$B$5:$B$42,B20)</x:f>
        <x:v>0</x:v>
      </x:c>
      <x:c r="E20" s="69" t="n">
        <x:f>IF(ROW()&lt;=6,0,F18)</x:f>
        <x:v>24</x:v>
      </x:c>
      <x:c r="F20" s="69" t="n">
        <x:f>E20+C20-D20</x:f>
        <x:v>24</x:v>
      </x:c>
      <x:c r="G20" s="69" t="str">
        <x:f>IF(F20&lt;0,"QUIEBRE",IF(F20=0,"SIN STOCK","OK"))</x:f>
        <x:v>OK</x:v>
      </x:c>
      <x:c r="H20" s="69" t="n">
        <x:f>IFERROR(EOMONTH(A20,0)-MAXIFS(Ingresos!$B$5:$B$14,Ingresos!$C$5:$C$14,B20,Ingresos!$D$5:$D$14,"Comercial",Ingresos!$B$5:$B$14,"&lt;="&amp;EOMONTH(A20,0)),"")</x:f>
        <x:v>189</x:v>
      </x:c>
      <x:c r="I20" s="33" t="str">
        <x:f>IF(G20="QUIEBRE","Ventas superaron el stock acumulado",IF(G20="SIN STOCK","Revisar fecha exacta del agotamiento","Stock disponible al cierre"))</x:f>
        <x:v>Stock disponible al cierre</x:v>
      </x:c>
    </x:row>
    <x:row r="21">
      <x:c r="A21" s="61" t="n">
        <x:v>46054</x:v>
      </x:c>
      <x:c r="B21" s="32" t="str">
        <x:v>Noirpress-Negro</x:v>
      </x:c>
      <x:c r="C21" s="69" t="n">
        <x:f>SUMIFS(Ingresos!$E$5:$E$14,Ingresos!$C$5:$C$14,B21,Ingresos!$B$5:$B$14,"&gt;="&amp;A21,Ingresos!$B$5:$B$14,"&lt;"&amp;EDATE(A21,1))</x:f>
        <x:v>88</x:v>
      </x:c>
      <x:c r="D21" s="69" t="n">
        <x:f>SUMIFS('Ventas Mensuales'!$C$5:$C$42,'Ventas Mensuales'!$A$5:$A$42,A21,'Ventas Mensuales'!$B$5:$B$42,B21)</x:f>
        <x:v>0</x:v>
      </x:c>
      <x:c r="E21" s="69" t="n">
        <x:f>IF(ROW()&lt;=6,0,F19)</x:f>
        <x:v>122</x:v>
      </x:c>
      <x:c r="F21" s="69" t="n">
        <x:f>E21+C21-D21</x:f>
        <x:v>210</x:v>
      </x:c>
      <x:c r="G21" s="69" t="str">
        <x:f>IF(F21&lt;0,"QUIEBRE",IF(F21=0,"SIN STOCK","OK"))</x:f>
        <x:v>OK</x:v>
      </x:c>
      <x:c r="H21" s="69" t="n">
        <x:f>IFERROR(EOMONTH(A21,0)-MAXIFS(Ingresos!$B$5:$B$14,Ingresos!$C$5:$C$14,B21,Ingresos!$D$5:$D$14,"Comercial",Ingresos!$B$5:$B$14,"&lt;="&amp;EOMONTH(A21,0)),"")</x:f>
        <x:v>23</x:v>
      </x:c>
      <x:c r="I21" s="33" t="str">
        <x:f>IF(G21="QUIEBRE","Ventas superaron el stock acumulado",IF(G21="SIN STOCK","Revisar fecha exacta del agotamiento","Stock disponible al cierre"))</x:f>
        <x:v>Stock disponible al cierre</x:v>
      </x:c>
    </x:row>
    <x:row r="22">
      <x:c r="A22" s="61" t="n">
        <x:v>46054</x:v>
      </x:c>
      <x:c r="B22" s="32" t="str">
        <x:v>Noirpress-Blanco</x:v>
      </x:c>
      <x:c r="C22" s="69" t="n">
        <x:f>SUMIFS(Ingresos!$E$5:$E$14,Ingresos!$C$5:$C$14,B22,Ingresos!$B$5:$B$14,"&gt;="&amp;A22,Ingresos!$B$5:$B$14,"&lt;"&amp;EDATE(A22,1))</x:f>
        <x:v>20</x:v>
      </x:c>
      <x:c r="D22" s="69" t="n">
        <x:f>SUMIFS('Ventas Mensuales'!$C$5:$C$42,'Ventas Mensuales'!$A$5:$A$42,A22,'Ventas Mensuales'!$B$5:$B$42,B22)</x:f>
        <x:v>0</x:v>
      </x:c>
      <x:c r="E22" s="69" t="n">
        <x:f>IF(ROW()&lt;=6,0,F20)</x:f>
        <x:v>24</x:v>
      </x:c>
      <x:c r="F22" s="69" t="n">
        <x:f>E22+C22-D22</x:f>
        <x:v>44</x:v>
      </x:c>
      <x:c r="G22" s="69" t="str">
        <x:f>IF(F22&lt;0,"QUIEBRE",IF(F22=0,"SIN STOCK","OK"))</x:f>
        <x:v>OK</x:v>
      </x:c>
      <x:c r="H22" s="69" t="n">
        <x:f>IFERROR(EOMONTH(A22,0)-MAXIFS(Ingresos!$B$5:$B$14,Ingresos!$C$5:$C$14,B22,Ingresos!$D$5:$D$14,"Comercial",Ingresos!$B$5:$B$14,"&lt;="&amp;EOMONTH(A22,0)),"")</x:f>
        <x:v>23</x:v>
      </x:c>
      <x:c r="I22" s="33" t="str">
        <x:f>IF(G22="QUIEBRE","Ventas superaron el stock acumulado",IF(G22="SIN STOCK","Revisar fecha exacta del agotamiento","Stock disponible al cierre"))</x:f>
        <x:v>Stock disponible al cierre</x:v>
      </x:c>
    </x:row>
    <x:row r="23">
      <x:c r="A23" s="61" t="n">
        <x:v>46082</x:v>
      </x:c>
      <x:c r="B23" s="32" t="str">
        <x:v>Noirpress-Negro</x:v>
      </x:c>
      <x:c r="C23" s="69" t="n">
        <x:f>SUMIFS(Ingresos!$E$5:$E$14,Ingresos!$C$5:$C$14,B23,Ingresos!$B$5:$B$14,"&gt;="&amp;A23,Ingresos!$B$5:$B$14,"&lt;"&amp;EDATE(A23,1))</x:f>
        <x:v>0</x:v>
      </x:c>
      <x:c r="D23" s="69" t="n">
        <x:f>SUMIFS('Ventas Mensuales'!$C$5:$C$42,'Ventas Mensuales'!$A$5:$A$42,A23,'Ventas Mensuales'!$B$5:$B$42,B23)</x:f>
        <x:v>0</x:v>
      </x:c>
      <x:c r="E23" s="69" t="n">
        <x:f>IF(ROW()&lt;=6,0,F21)</x:f>
        <x:v>210</x:v>
      </x:c>
      <x:c r="F23" s="69" t="n">
        <x:f>E23+C23-D23</x:f>
        <x:v>210</x:v>
      </x:c>
      <x:c r="G23" s="69" t="str">
        <x:f>IF(F23&lt;0,"QUIEBRE",IF(F23=0,"SIN STOCK","OK"))</x:f>
        <x:v>OK</x:v>
      </x:c>
      <x:c r="H23" s="69" t="n">
        <x:f>IFERROR(EOMONTH(A23,0)-MAXIFS(Ingresos!$B$5:$B$14,Ingresos!$C$5:$C$14,B23,Ingresos!$D$5:$D$14,"Comercial",Ingresos!$B$5:$B$14,"&lt;="&amp;EOMONTH(A23,0)),"")</x:f>
        <x:v>54</x:v>
      </x:c>
      <x:c r="I23" s="33" t="str">
        <x:f>IF(G23="QUIEBRE","Ventas superaron el stock acumulado",IF(G23="SIN STOCK","Revisar fecha exacta del agotamiento","Stock disponible al cierre"))</x:f>
        <x:v>Stock disponible al cierre</x:v>
      </x:c>
    </x:row>
    <x:row r="24">
      <x:c r="A24" s="61" t="n">
        <x:v>46082</x:v>
      </x:c>
      <x:c r="B24" s="32" t="str">
        <x:v>Noirpress-Blanco</x:v>
      </x:c>
      <x:c r="C24" s="69" t="n">
        <x:f>SUMIFS(Ingresos!$E$5:$E$14,Ingresos!$C$5:$C$14,B24,Ingresos!$B$5:$B$14,"&gt;="&amp;A24,Ingresos!$B$5:$B$14,"&lt;"&amp;EDATE(A24,1))</x:f>
        <x:v>0</x:v>
      </x:c>
      <x:c r="D24" s="69" t="n">
        <x:f>SUMIFS('Ventas Mensuales'!$C$5:$C$42,'Ventas Mensuales'!$A$5:$A$42,A24,'Ventas Mensuales'!$B$5:$B$42,B24)</x:f>
        <x:v>0</x:v>
      </x:c>
      <x:c r="E24" s="69" t="n">
        <x:f>IF(ROW()&lt;=6,0,F22)</x:f>
        <x:v>44</x:v>
      </x:c>
      <x:c r="F24" s="69" t="n">
        <x:f>E24+C24-D24</x:f>
        <x:v>44</x:v>
      </x:c>
      <x:c r="G24" s="69" t="str">
        <x:f>IF(F24&lt;0,"QUIEBRE",IF(F24=0,"SIN STOCK","OK"))</x:f>
        <x:v>OK</x:v>
      </x:c>
      <x:c r="H24" s="69" t="n">
        <x:f>IFERROR(EOMONTH(A24,0)-MAXIFS(Ingresos!$B$5:$B$14,Ingresos!$C$5:$C$14,B24,Ingresos!$D$5:$D$14,"Comercial",Ingresos!$B$5:$B$14,"&lt;="&amp;EOMONTH(A24,0)),"")</x:f>
        <x:v>54</x:v>
      </x:c>
      <x:c r="I24" s="33" t="str">
        <x:f>IF(G24="QUIEBRE","Ventas superaron el stock acumulado",IF(G24="SIN STOCK","Revisar fecha exacta del agotamiento","Stock disponible al cierre"))</x:f>
        <x:v>Stock disponible al cierre</x:v>
      </x:c>
    </x:row>
    <x:row r="25">
      <x:c r="A25" s="61" t="n">
        <x:v>46113</x:v>
      </x:c>
      <x:c r="B25" s="32" t="str">
        <x:v>Noirpress-Negro</x:v>
      </x:c>
      <x:c r="C25" s="69" t="n">
        <x:f>SUMIFS(Ingresos!$E$5:$E$14,Ingresos!$C$5:$C$14,B25,Ingresos!$B$5:$B$14,"&gt;="&amp;A25,Ingresos!$B$5:$B$14,"&lt;"&amp;EDATE(A25,1))</x:f>
        <x:v>120</x:v>
      </x:c>
      <x:c r="D25" s="69" t="n">
        <x:f>SUMIFS('Ventas Mensuales'!$C$5:$C$42,'Ventas Mensuales'!$A$5:$A$42,A25,'Ventas Mensuales'!$B$5:$B$42,B25)</x:f>
        <x:v>0</x:v>
      </x:c>
      <x:c r="E25" s="69" t="n">
        <x:f>IF(ROW()&lt;=6,0,F23)</x:f>
        <x:v>210</x:v>
      </x:c>
      <x:c r="F25" s="69" t="n">
        <x:f>E25+C25-D25</x:f>
        <x:v>330</x:v>
      </x:c>
      <x:c r="G25" s="69" t="str">
        <x:f>IF(F25&lt;0,"QUIEBRE",IF(F25=0,"SIN STOCK","OK"))</x:f>
        <x:v>OK</x:v>
      </x:c>
      <x:c r="H25" s="69" t="n">
        <x:f>IFERROR(EOMONTH(A25,0)-MAXIFS(Ingresos!$B$5:$B$14,Ingresos!$C$5:$C$14,B25,Ingresos!$D$5:$D$14,"Comercial",Ingresos!$B$5:$B$14,"&lt;="&amp;EOMONTH(A25,0)),"")</x:f>
        <x:v>24</x:v>
      </x:c>
      <x:c r="I25" s="33" t="str">
        <x:f>IF(G25="QUIEBRE","Ventas superaron el stock acumulado",IF(G25="SIN STOCK","Revisar fecha exacta del agotamiento","Stock disponible al cierre"))</x:f>
        <x:v>Stock disponible al cierre</x:v>
      </x:c>
    </x:row>
    <x:row r="26">
      <x:c r="A26" s="61" t="n">
        <x:v>46113</x:v>
      </x:c>
      <x:c r="B26" s="32" t="str">
        <x:v>Noirpress-Blanco</x:v>
      </x:c>
      <x:c r="C26" s="69" t="n">
        <x:f>SUMIFS(Ingresos!$E$5:$E$14,Ingresos!$C$5:$C$14,B26,Ingresos!$B$5:$B$14,"&gt;="&amp;A26,Ingresos!$B$5:$B$14,"&lt;"&amp;EDATE(A26,1))</x:f>
        <x:v>0</x:v>
      </x:c>
      <x:c r="D26" s="69" t="n">
        <x:f>SUMIFS('Ventas Mensuales'!$C$5:$C$42,'Ventas Mensuales'!$A$5:$A$42,A26,'Ventas Mensuales'!$B$5:$B$42,B26)</x:f>
        <x:v>0</x:v>
      </x:c>
      <x:c r="E26" s="69" t="n">
        <x:f>IF(ROW()&lt;=6,0,F24)</x:f>
        <x:v>44</x:v>
      </x:c>
      <x:c r="F26" s="69" t="n">
        <x:f>E26+C26-D26</x:f>
        <x:v>44</x:v>
      </x:c>
      <x:c r="G26" s="69" t="str">
        <x:f>IF(F26&lt;0,"QUIEBRE",IF(F26=0,"SIN STOCK","OK"))</x:f>
        <x:v>OK</x:v>
      </x:c>
      <x:c r="H26" s="69" t="n">
        <x:f>IFERROR(EOMONTH(A26,0)-MAXIFS(Ingresos!$B$5:$B$14,Ingresos!$C$5:$C$14,B26,Ingresos!$D$5:$D$14,"Comercial",Ingresos!$B$5:$B$14,"&lt;="&amp;EOMONTH(A26,0)),"")</x:f>
        <x:v>84</x:v>
      </x:c>
      <x:c r="I26" s="33" t="str">
        <x:f>IF(G26="QUIEBRE","Ventas superaron el stock acumulado",IF(G26="SIN STOCK","Revisar fecha exacta del agotamiento","Stock disponible al cierre"))</x:f>
        <x:v>Stock disponible al cierre</x:v>
      </x:c>
    </x:row>
    <x:row r="27">
      <x:c r="A27" s="61" t="n">
        <x:v>46143</x:v>
      </x:c>
      <x:c r="B27" s="32" t="str">
        <x:v>Noirpress-Negro</x:v>
      </x:c>
      <x:c r="C27" s="69" t="n">
        <x:f>SUMIFS(Ingresos!$E$5:$E$14,Ingresos!$C$5:$C$14,B27,Ingresos!$B$5:$B$14,"&gt;="&amp;A27,Ingresos!$B$5:$B$14,"&lt;"&amp;EDATE(A27,1))</x:f>
        <x:v>144</x:v>
      </x:c>
      <x:c r="D27" s="69" t="n">
        <x:f>SUMIFS('Ventas Mensuales'!$C$5:$C$42,'Ventas Mensuales'!$A$5:$A$42,A27,'Ventas Mensuales'!$B$5:$B$42,B27)</x:f>
        <x:v>0</x:v>
      </x:c>
      <x:c r="E27" s="69" t="n">
        <x:f>IF(ROW()&lt;=6,0,F25)</x:f>
        <x:v>330</x:v>
      </x:c>
      <x:c r="F27" s="69" t="n">
        <x:f>E27+C27-D27</x:f>
        <x:v>474</x:v>
      </x:c>
      <x:c r="G27" s="69" t="str">
        <x:f>IF(F27&lt;0,"QUIEBRE",IF(F27=0,"SIN STOCK","OK"))</x:f>
        <x:v>OK</x:v>
      </x:c>
      <x:c r="H27" s="69" t="n">
        <x:f>IFERROR(EOMONTH(A27,0)-MAXIFS(Ingresos!$B$5:$B$14,Ingresos!$C$5:$C$14,B27,Ingresos!$D$5:$D$14,"Comercial",Ingresos!$B$5:$B$14,"&lt;="&amp;EOMONTH(A27,0)),"")</x:f>
        <x:v>4</x:v>
      </x:c>
      <x:c r="I27" s="33" t="str">
        <x:f>IF(G27="QUIEBRE","Ventas superaron el stock acumulado",IF(G27="SIN STOCK","Revisar fecha exacta del agotamiento","Stock disponible al cierre"))</x:f>
        <x:v>Stock disponible al cierre</x:v>
      </x:c>
    </x:row>
    <x:row r="28">
      <x:c r="A28" s="61" t="n">
        <x:v>46143</x:v>
      </x:c>
      <x:c r="B28" s="32" t="str">
        <x:v>Noirpress-Blanco</x:v>
      </x:c>
      <x:c r="C28" s="69" t="n">
        <x:f>SUMIFS(Ingresos!$E$5:$E$14,Ingresos!$C$5:$C$14,B28,Ingresos!$B$5:$B$14,"&gt;="&amp;A28,Ingresos!$B$5:$B$14,"&lt;"&amp;EDATE(A28,1))</x:f>
        <x:v>0</x:v>
      </x:c>
      <x:c r="D28" s="69" t="n">
        <x:f>SUMIFS('Ventas Mensuales'!$C$5:$C$42,'Ventas Mensuales'!$A$5:$A$42,A28,'Ventas Mensuales'!$B$5:$B$42,B28)</x:f>
        <x:v>0</x:v>
      </x:c>
      <x:c r="E28" s="69" t="n">
        <x:f>IF(ROW()&lt;=6,0,F26)</x:f>
        <x:v>44</x:v>
      </x:c>
      <x:c r="F28" s="69" t="n">
        <x:f>E28+C28-D28</x:f>
        <x:v>44</x:v>
      </x:c>
      <x:c r="G28" s="69" t="str">
        <x:f>IF(F28&lt;0,"QUIEBRE",IF(F28=0,"SIN STOCK","OK"))</x:f>
        <x:v>OK</x:v>
      </x:c>
      <x:c r="H28" s="69" t="n">
        <x:f>IFERROR(EOMONTH(A28,0)-MAXIFS(Ingresos!$B$5:$B$14,Ingresos!$C$5:$C$14,B28,Ingresos!$D$5:$D$14,"Comercial",Ingresos!$B$5:$B$14,"&lt;="&amp;EOMONTH(A28,0)),"")</x:f>
        <x:v>115</x:v>
      </x:c>
      <x:c r="I28" s="33" t="str">
        <x:f>IF(G28="QUIEBRE","Ventas superaron el stock acumulado",IF(G28="SIN STOCK","Revisar fecha exacta del agotamiento","Stock disponible al cierre"))</x:f>
        <x:v>Stock disponible al cierre</x:v>
      </x:c>
    </x:row>
    <x:row r="29">
      <x:c r="A29" s="61" t="n">
        <x:v>46174</x:v>
      </x:c>
      <x:c r="B29" s="32" t="str">
        <x:v>Noirpress-Negro</x:v>
      </x:c>
      <x:c r="C29" s="69" t="n">
        <x:f>SUMIFS(Ingresos!$E$5:$E$14,Ingresos!$C$5:$C$14,B29,Ingresos!$B$5:$B$14,"&gt;="&amp;A29,Ingresos!$B$5:$B$14,"&lt;"&amp;EDATE(A29,1))</x:f>
        <x:v>0</x:v>
      </x:c>
      <x:c r="D29" s="69" t="n">
        <x:f>SUMIFS('Ventas Mensuales'!$C$5:$C$42,'Ventas Mensuales'!$A$5:$A$42,A29,'Ventas Mensuales'!$B$5:$B$42,B29)</x:f>
        <x:v>0</x:v>
      </x:c>
      <x:c r="E29" s="69" t="n">
        <x:f>IF(ROW()&lt;=6,0,F27)</x:f>
        <x:v>474</x:v>
      </x:c>
      <x:c r="F29" s="69" t="n">
        <x:f>E29+C29-D29</x:f>
        <x:v>474</x:v>
      </x:c>
      <x:c r="G29" s="69" t="str">
        <x:f>IF(F29&lt;0,"QUIEBRE",IF(F29=0,"SIN STOCK","OK"))</x:f>
        <x:v>OK</x:v>
      </x:c>
      <x:c r="H29" s="69" t="n">
        <x:f>IFERROR(EOMONTH(A29,0)-MAXIFS(Ingresos!$B$5:$B$14,Ingresos!$C$5:$C$14,B29,Ingresos!$D$5:$D$14,"Comercial",Ingresos!$B$5:$B$14,"&lt;="&amp;EOMONTH(A29,0)),"")</x:f>
        <x:v>34</x:v>
      </x:c>
      <x:c r="I29" s="33" t="str">
        <x:f>IF(G29="QUIEBRE","Ventas superaron el stock acumulado",IF(G29="SIN STOCK","Revisar fecha exacta del agotamiento","Stock disponible al cierre"))</x:f>
        <x:v>Stock disponible al cierre</x:v>
      </x:c>
    </x:row>
    <x:row r="30">
      <x:c r="A30" s="61" t="n">
        <x:v>46174</x:v>
      </x:c>
      <x:c r="B30" s="32" t="str">
        <x:v>Noirpress-Blanco</x:v>
      </x:c>
      <x:c r="C30" s="69" t="n">
        <x:f>SUMIFS(Ingresos!$E$5:$E$14,Ingresos!$C$5:$C$14,B30,Ingresos!$B$5:$B$14,"&gt;="&amp;A30,Ingresos!$B$5:$B$14,"&lt;"&amp;EDATE(A30,1))</x:f>
        <x:v>0</x:v>
      </x:c>
      <x:c r="D30" s="69" t="n">
        <x:f>SUMIFS('Ventas Mensuales'!$C$5:$C$42,'Ventas Mensuales'!$A$5:$A$42,A30,'Ventas Mensuales'!$B$5:$B$42,B30)</x:f>
        <x:v>0</x:v>
      </x:c>
      <x:c r="E30" s="69" t="n">
        <x:f>IF(ROW()&lt;=6,0,F28)</x:f>
        <x:v>44</x:v>
      </x:c>
      <x:c r="F30" s="69" t="n">
        <x:f>E30+C30-D30</x:f>
        <x:v>44</x:v>
      </x:c>
      <x:c r="G30" s="69" t="str">
        <x:f>IF(F30&lt;0,"QUIEBRE",IF(F30=0,"SIN STOCK","OK"))</x:f>
        <x:v>OK</x:v>
      </x:c>
      <x:c r="H30" s="69" t="n">
        <x:f>IFERROR(EOMONTH(A30,0)-MAXIFS(Ingresos!$B$5:$B$14,Ingresos!$C$5:$C$14,B30,Ingresos!$D$5:$D$14,"Comercial",Ingresos!$B$5:$B$14,"&lt;="&amp;EOMONTH(A30,0)),"")</x:f>
        <x:v>145</x:v>
      </x:c>
      <x:c r="I30" s="33" t="str">
        <x:f>IF(G30="QUIEBRE","Ventas superaron el stock acumulado",IF(G30="SIN STOCK","Revisar fecha exacta del agotamiento","Stock disponible al cierre"))</x:f>
        <x:v>Stock disponible al cierre</x:v>
      </x:c>
    </x:row>
    <x:row r="31">
      <x:c r="A31" s="61" t="n">
        <x:v>46204</x:v>
      </x:c>
      <x:c r="B31" s="32" t="str">
        <x:v>Noirpress-Negro</x:v>
      </x:c>
      <x:c r="C31" s="69" t="n">
        <x:f>SUMIFS(Ingresos!$E$5:$E$14,Ingresos!$C$5:$C$14,B31,Ingresos!$B$5:$B$14,"&gt;="&amp;A31,Ingresos!$B$5:$B$14,"&lt;"&amp;EDATE(A31,1))</x:f>
        <x:v>144</x:v>
      </x:c>
      <x:c r="D31" s="69" t="n">
        <x:f>SUMIFS('Ventas Mensuales'!$C$5:$C$42,'Ventas Mensuales'!$A$5:$A$42,A31,'Ventas Mensuales'!$B$5:$B$42,B31)</x:f>
        <x:v>0</x:v>
      </x:c>
      <x:c r="E31" s="69" t="n">
        <x:f>IF(ROW()&lt;=6,0,F29)</x:f>
        <x:v>474</x:v>
      </x:c>
      <x:c r="F31" s="69" t="n">
        <x:f>E31+C31-D31</x:f>
        <x:v>618</x:v>
      </x:c>
      <x:c r="G31" s="69" t="str">
        <x:f>IF(F31&lt;0,"QUIEBRE",IF(F31=0,"SIN STOCK","OK"))</x:f>
        <x:v>OK</x:v>
      </x:c>
      <x:c r="H31" s="69" t="n">
        <x:f>IFERROR(EOMONTH(A31,0)-MAXIFS(Ingresos!$B$5:$B$14,Ingresos!$C$5:$C$14,B31,Ingresos!$D$5:$D$14,"Comercial",Ingresos!$B$5:$B$14,"&lt;="&amp;EOMONTH(A31,0)),"")</x:f>
        <x:v>30</x:v>
      </x:c>
      <x:c r="I31" s="33" t="str">
        <x:f>IF(G31="QUIEBRE","Ventas superaron el stock acumulado",IF(G31="SIN STOCK","Revisar fecha exacta del agotamiento","Stock disponible al cierre"))</x:f>
        <x:v>Stock disponible al cierre</x:v>
      </x:c>
    </x:row>
    <x:row r="32">
      <x:c r="A32" s="61" t="n">
        <x:v>46204</x:v>
      </x:c>
      <x:c r="B32" s="32" t="str">
        <x:v>Noirpress-Blanco</x:v>
      </x:c>
      <x:c r="C32" s="69" t="n">
        <x:f>SUMIFS(Ingresos!$E$5:$E$14,Ingresos!$C$5:$C$14,B32,Ingresos!$B$5:$B$14,"&gt;="&amp;A32,Ingresos!$B$5:$B$14,"&lt;"&amp;EDATE(A32,1))</x:f>
        <x:v>0</x:v>
      </x:c>
      <x:c r="D32" s="69" t="n">
        <x:f>SUMIFS('Ventas Mensuales'!$C$5:$C$42,'Ventas Mensuales'!$A$5:$A$42,A32,'Ventas Mensuales'!$B$5:$B$42,B32)</x:f>
        <x:v>0</x:v>
      </x:c>
      <x:c r="E32" s="69" t="n">
        <x:f>IF(ROW()&lt;=6,0,F30)</x:f>
        <x:v>44</x:v>
      </x:c>
      <x:c r="F32" s="69" t="n">
        <x:f>E32+C32-D32</x:f>
        <x:v>44</x:v>
      </x:c>
      <x:c r="G32" s="69" t="str">
        <x:f>IF(F32&lt;0,"QUIEBRE",IF(F32=0,"SIN STOCK","OK"))</x:f>
        <x:v>OK</x:v>
      </x:c>
      <x:c r="H32" s="69" t="n">
        <x:f>IFERROR(EOMONTH(A32,0)-MAXIFS(Ingresos!$B$5:$B$14,Ingresos!$C$5:$C$14,B32,Ingresos!$D$5:$D$14,"Comercial",Ingresos!$B$5:$B$14,"&lt;="&amp;EOMONTH(A32,0)),"")</x:f>
        <x:v>176</x:v>
      </x:c>
      <x:c r="I32" s="33" t="str">
        <x:f>IF(G32="QUIEBRE","Ventas superaron el stock acumulado",IF(G32="SIN STOCK","Revisar fecha exacta del agotamiento","Stock disponible al cierre"))</x:f>
        <x:v>Stock disponible al cierre</x:v>
      </x:c>
    </x:row>
    <x:row r="33">
      <x:c r="A33" s="61" t="n">
        <x:v>46235</x:v>
      </x:c>
      <x:c r="B33" s="32" t="str">
        <x:v>Noirpress-Negro</x:v>
      </x:c>
      <x:c r="C33" s="69" t="n">
        <x:f>SUMIFS(Ingresos!$E$5:$E$14,Ingresos!$C$5:$C$14,B33,Ingresos!$B$5:$B$14,"&gt;="&amp;A33,Ingresos!$B$5:$B$14,"&lt;"&amp;EDATE(A33,1))</x:f>
        <x:v>0</x:v>
      </x:c>
      <x:c r="D33" s="69" t="n">
        <x:f>SUMIFS('Ventas Mensuales'!$C$5:$C$42,'Ventas Mensuales'!$A$5:$A$42,A33,'Ventas Mensuales'!$B$5:$B$42,B33)</x:f>
        <x:v>0</x:v>
      </x:c>
      <x:c r="E33" s="69" t="n">
        <x:f>IF(ROW()&lt;=6,0,F31)</x:f>
        <x:v>618</x:v>
      </x:c>
      <x:c r="F33" s="69" t="n">
        <x:f>E33+C33-D33</x:f>
        <x:v>618</x:v>
      </x:c>
      <x:c r="G33" s="69" t="str">
        <x:f>IF(F33&lt;0,"QUIEBRE",IF(F33=0,"SIN STOCK","OK"))</x:f>
        <x:v>OK</x:v>
      </x:c>
      <x:c r="H33" s="69" t="n">
        <x:f>IFERROR(EOMONTH(A33,0)-MAXIFS(Ingresos!$B$5:$B$14,Ingresos!$C$5:$C$14,B33,Ingresos!$D$5:$D$14,"Comercial",Ingresos!$B$5:$B$14,"&lt;="&amp;EOMONTH(A33,0)),"")</x:f>
        <x:v>61</x:v>
      </x:c>
      <x:c r="I33" s="33" t="str">
        <x:f>IF(G33="QUIEBRE","Ventas superaron el stock acumulado",IF(G33="SIN STOCK","Revisar fecha exacta del agotamiento","Stock disponible al cierre"))</x:f>
        <x:v>Stock disponible al cierre</x:v>
      </x:c>
    </x:row>
    <x:row r="34">
      <x:c r="A34" s="61" t="n">
        <x:v>46235</x:v>
      </x:c>
      <x:c r="B34" s="32" t="str">
        <x:v>Noirpress-Blanco</x:v>
      </x:c>
      <x:c r="C34" s="69" t="n">
        <x:f>SUMIFS(Ingresos!$E$5:$E$14,Ingresos!$C$5:$C$14,B34,Ingresos!$B$5:$B$14,"&gt;="&amp;A34,Ingresos!$B$5:$B$14,"&lt;"&amp;EDATE(A34,1))</x:f>
        <x:v>0</x:v>
      </x:c>
      <x:c r="D34" s="69" t="n">
        <x:f>SUMIFS('Ventas Mensuales'!$C$5:$C$42,'Ventas Mensuales'!$A$5:$A$42,A34,'Ventas Mensuales'!$B$5:$B$42,B34)</x:f>
        <x:v>0</x:v>
      </x:c>
      <x:c r="E34" s="69" t="n">
        <x:f>IF(ROW()&lt;=6,0,F32)</x:f>
        <x:v>44</x:v>
      </x:c>
      <x:c r="F34" s="69" t="n">
        <x:f>E34+C34-D34</x:f>
        <x:v>44</x:v>
      </x:c>
      <x:c r="G34" s="69" t="str">
        <x:f>IF(F34&lt;0,"QUIEBRE",IF(F34=0,"SIN STOCK","OK"))</x:f>
        <x:v>OK</x:v>
      </x:c>
      <x:c r="H34" s="69" t="n">
        <x:f>IFERROR(EOMONTH(A34,0)-MAXIFS(Ingresos!$B$5:$B$14,Ingresos!$C$5:$C$14,B34,Ingresos!$D$5:$D$14,"Comercial",Ingresos!$B$5:$B$14,"&lt;="&amp;EOMONTH(A34,0)),"")</x:f>
        <x:v>207</x:v>
      </x:c>
      <x:c r="I34" s="33" t="str">
        <x:f>IF(G34="QUIEBRE","Ventas superaron el stock acumulado",IF(G34="SIN STOCK","Revisar fecha exacta del agotamiento","Stock disponible al cierre"))</x:f>
        <x:v>Stock disponible al cierre</x:v>
      </x:c>
    </x:row>
    <x:row r="35">
      <x:c r="A35" s="61" t="n">
        <x:v>46266</x:v>
      </x:c>
      <x:c r="B35" s="32" t="str">
        <x:v>Noirpress-Negro</x:v>
      </x:c>
      <x:c r="C35" s="69" t="n">
        <x:f>SUMIFS(Ingresos!$E$5:$E$14,Ingresos!$C$5:$C$14,B35,Ingresos!$B$5:$B$14,"&gt;="&amp;A35,Ingresos!$B$5:$B$14,"&lt;"&amp;EDATE(A35,1))</x:f>
        <x:v>0</x:v>
      </x:c>
      <x:c r="D35" s="69" t="n">
        <x:f>SUMIFS('Ventas Mensuales'!$C$5:$C$42,'Ventas Mensuales'!$A$5:$A$42,A35,'Ventas Mensuales'!$B$5:$B$42,B35)</x:f>
        <x:v>0</x:v>
      </x:c>
      <x:c r="E35" s="69" t="n">
        <x:f>IF(ROW()&lt;=6,0,F33)</x:f>
        <x:v>618</x:v>
      </x:c>
      <x:c r="F35" s="69" t="n">
        <x:f>E35+C35-D35</x:f>
        <x:v>618</x:v>
      </x:c>
      <x:c r="G35" s="69" t="str">
        <x:f>IF(F35&lt;0,"QUIEBRE",IF(F35=0,"SIN STOCK","OK"))</x:f>
        <x:v>OK</x:v>
      </x:c>
      <x:c r="H35" s="69" t="n">
        <x:f>IFERROR(EOMONTH(A35,0)-MAXIFS(Ingresos!$B$5:$B$14,Ingresos!$C$5:$C$14,B35,Ingresos!$D$5:$D$14,"Comercial",Ingresos!$B$5:$B$14,"&lt;="&amp;EOMONTH(A35,0)),"")</x:f>
        <x:v>91</x:v>
      </x:c>
      <x:c r="I35" s="33" t="str">
        <x:f>IF(G35="QUIEBRE","Ventas superaron el stock acumulado",IF(G35="SIN STOCK","Revisar fecha exacta del agotamiento","Stock disponible al cierre"))</x:f>
        <x:v>Stock disponible al cierre</x:v>
      </x:c>
    </x:row>
    <x:row r="36">
      <x:c r="A36" s="61" t="n">
        <x:v>46266</x:v>
      </x:c>
      <x:c r="B36" s="32" t="str">
        <x:v>Noirpress-Blanco</x:v>
      </x:c>
      <x:c r="C36" s="69" t="n">
        <x:f>SUMIFS(Ingresos!$E$5:$E$14,Ingresos!$C$5:$C$14,B36,Ingresos!$B$5:$B$14,"&gt;="&amp;A36,Ingresos!$B$5:$B$14,"&lt;"&amp;EDATE(A36,1))</x:f>
        <x:v>0</x:v>
      </x:c>
      <x:c r="D36" s="69" t="n">
        <x:f>SUMIFS('Ventas Mensuales'!$C$5:$C$42,'Ventas Mensuales'!$A$5:$A$42,A36,'Ventas Mensuales'!$B$5:$B$42,B36)</x:f>
        <x:v>0</x:v>
      </x:c>
      <x:c r="E36" s="69" t="n">
        <x:f>IF(ROW()&lt;=6,0,F34)</x:f>
        <x:v>44</x:v>
      </x:c>
      <x:c r="F36" s="69" t="n">
        <x:f>E36+C36-D36</x:f>
        <x:v>44</x:v>
      </x:c>
      <x:c r="G36" s="69" t="str">
        <x:f>IF(F36&lt;0,"QUIEBRE",IF(F36=0,"SIN STOCK","OK"))</x:f>
        <x:v>OK</x:v>
      </x:c>
      <x:c r="H36" s="69" t="n">
        <x:f>IFERROR(EOMONTH(A36,0)-MAXIFS(Ingresos!$B$5:$B$14,Ingresos!$C$5:$C$14,B36,Ingresos!$D$5:$D$14,"Comercial",Ingresos!$B$5:$B$14,"&lt;="&amp;EOMONTH(A36,0)),"")</x:f>
        <x:v>237</x:v>
      </x:c>
      <x:c r="I36" s="33" t="str">
        <x:f>IF(G36="QUIEBRE","Ventas superaron el stock acumulado",IF(G36="SIN STOCK","Revisar fecha exacta del agotamiento","Stock disponible al cierre"))</x:f>
        <x:v>Stock disponible al cierre</x:v>
      </x:c>
    </x:row>
    <x:row r="37">
      <x:c r="A37" s="61" t="n">
        <x:v>46296</x:v>
      </x:c>
      <x:c r="B37" s="32" t="str">
        <x:v>Noirpress-Negro</x:v>
      </x:c>
      <x:c r="C37" s="69" t="n">
        <x:f>SUMIFS(Ingresos!$E$5:$E$14,Ingresos!$C$5:$C$14,B37,Ingresos!$B$5:$B$14,"&gt;="&amp;A37,Ingresos!$B$5:$B$14,"&lt;"&amp;EDATE(A37,1))</x:f>
        <x:v>0</x:v>
      </x:c>
      <x:c r="D37" s="69" t="n">
        <x:f>SUMIFS('Ventas Mensuales'!$C$5:$C$42,'Ventas Mensuales'!$A$5:$A$42,A37,'Ventas Mensuales'!$B$5:$B$42,B37)</x:f>
        <x:v>0</x:v>
      </x:c>
      <x:c r="E37" s="69" t="n">
        <x:f>IF(ROW()&lt;=6,0,F35)</x:f>
        <x:v>618</x:v>
      </x:c>
      <x:c r="F37" s="69" t="n">
        <x:f>E37+C37-D37</x:f>
        <x:v>618</x:v>
      </x:c>
      <x:c r="G37" s="69" t="str">
        <x:f>IF(F37&lt;0,"QUIEBRE",IF(F37=0,"SIN STOCK","OK"))</x:f>
        <x:v>OK</x:v>
      </x:c>
      <x:c r="H37" s="69" t="n">
        <x:f>IFERROR(EOMONTH(A37,0)-MAXIFS(Ingresos!$B$5:$B$14,Ingresos!$C$5:$C$14,B37,Ingresos!$D$5:$D$14,"Comercial",Ingresos!$B$5:$B$14,"&lt;="&amp;EOMONTH(A37,0)),"")</x:f>
        <x:v>122</x:v>
      </x:c>
      <x:c r="I37" s="33" t="str">
        <x:f>IF(G37="QUIEBRE","Ventas superaron el stock acumulado",IF(G37="SIN STOCK","Revisar fecha exacta del agotamiento","Stock disponible al cierre"))</x:f>
        <x:v>Stock disponible al cierre</x:v>
      </x:c>
    </x:row>
    <x:row r="38">
      <x:c r="A38" s="61" t="n">
        <x:v>46296</x:v>
      </x:c>
      <x:c r="B38" s="32" t="str">
        <x:v>Noirpress-Blanco</x:v>
      </x:c>
      <x:c r="C38" s="69" t="n">
        <x:f>SUMIFS(Ingresos!$E$5:$E$14,Ingresos!$C$5:$C$14,B38,Ingresos!$B$5:$B$14,"&gt;="&amp;A38,Ingresos!$B$5:$B$14,"&lt;"&amp;EDATE(A38,1))</x:f>
        <x:v>0</x:v>
      </x:c>
      <x:c r="D38" s="69" t="n">
        <x:f>SUMIFS('Ventas Mensuales'!$C$5:$C$42,'Ventas Mensuales'!$A$5:$A$42,A38,'Ventas Mensuales'!$B$5:$B$42,B38)</x:f>
        <x:v>0</x:v>
      </x:c>
      <x:c r="E38" s="69" t="n">
        <x:f>IF(ROW()&lt;=6,0,F36)</x:f>
        <x:v>44</x:v>
      </x:c>
      <x:c r="F38" s="69" t="n">
        <x:f>E38+C38-D38</x:f>
        <x:v>44</x:v>
      </x:c>
      <x:c r="G38" s="69" t="str">
        <x:f>IF(F38&lt;0,"QUIEBRE",IF(F38=0,"SIN STOCK","OK"))</x:f>
        <x:v>OK</x:v>
      </x:c>
      <x:c r="H38" s="69" t="n">
        <x:f>IFERROR(EOMONTH(A38,0)-MAXIFS(Ingresos!$B$5:$B$14,Ingresos!$C$5:$C$14,B38,Ingresos!$D$5:$D$14,"Comercial",Ingresos!$B$5:$B$14,"&lt;="&amp;EOMONTH(A38,0)),"")</x:f>
        <x:v>268</x:v>
      </x:c>
      <x:c r="I38" s="33" t="str">
        <x:f>IF(G38="QUIEBRE","Ventas superaron el stock acumulado",IF(G38="SIN STOCK","Revisar fecha exacta del agotamiento","Stock disponible al cierre"))</x:f>
        <x:v>Stock disponible al cierre</x:v>
      </x:c>
    </x:row>
    <x:row r="39">
      <x:c r="A39" s="61" t="n">
        <x:v>46327</x:v>
      </x:c>
      <x:c r="B39" s="32" t="str">
        <x:v>Noirpress-Negro</x:v>
      </x:c>
      <x:c r="C39" s="69" t="n">
        <x:f>SUMIFS(Ingresos!$E$5:$E$14,Ingresos!$C$5:$C$14,B39,Ingresos!$B$5:$B$14,"&gt;="&amp;A39,Ingresos!$B$5:$B$14,"&lt;"&amp;EDATE(A39,1))</x:f>
        <x:v>0</x:v>
      </x:c>
      <x:c r="D39" s="69" t="n">
        <x:f>SUMIFS('Ventas Mensuales'!$C$5:$C$42,'Ventas Mensuales'!$A$5:$A$42,A39,'Ventas Mensuales'!$B$5:$B$42,B39)</x:f>
        <x:v>0</x:v>
      </x:c>
      <x:c r="E39" s="69" t="n">
        <x:f>IF(ROW()&lt;=6,0,F37)</x:f>
        <x:v>618</x:v>
      </x:c>
      <x:c r="F39" s="69" t="n">
        <x:f>E39+C39-D39</x:f>
        <x:v>618</x:v>
      </x:c>
      <x:c r="G39" s="69" t="str">
        <x:f>IF(F39&lt;0,"QUIEBRE",IF(F39=0,"SIN STOCK","OK"))</x:f>
        <x:v>OK</x:v>
      </x:c>
      <x:c r="H39" s="69" t="n">
        <x:f>IFERROR(EOMONTH(A39,0)-MAXIFS(Ingresos!$B$5:$B$14,Ingresos!$C$5:$C$14,B39,Ingresos!$D$5:$D$14,"Comercial",Ingresos!$B$5:$B$14,"&lt;="&amp;EOMONTH(A39,0)),"")</x:f>
        <x:v>152</x:v>
      </x:c>
      <x:c r="I39" s="33" t="str">
        <x:f>IF(G39="QUIEBRE","Ventas superaron el stock acumulado",IF(G39="SIN STOCK","Revisar fecha exacta del agotamiento","Stock disponible al cierre"))</x:f>
        <x:v>Stock disponible al cierre</x:v>
      </x:c>
    </x:row>
    <x:row r="40">
      <x:c r="A40" s="61" t="n">
        <x:v>46327</x:v>
      </x:c>
      <x:c r="B40" s="32" t="str">
        <x:v>Noirpress-Blanco</x:v>
      </x:c>
      <x:c r="C40" s="69" t="n">
        <x:f>SUMIFS(Ingresos!$E$5:$E$14,Ingresos!$C$5:$C$14,B40,Ingresos!$B$5:$B$14,"&gt;="&amp;A40,Ingresos!$B$5:$B$14,"&lt;"&amp;EDATE(A40,1))</x:f>
        <x:v>0</x:v>
      </x:c>
      <x:c r="D40" s="69" t="n">
        <x:f>SUMIFS('Ventas Mensuales'!$C$5:$C$42,'Ventas Mensuales'!$A$5:$A$42,A40,'Ventas Mensuales'!$B$5:$B$42,B40)</x:f>
        <x:v>0</x:v>
      </x:c>
      <x:c r="E40" s="69" t="n">
        <x:f>IF(ROW()&lt;=6,0,F38)</x:f>
        <x:v>44</x:v>
      </x:c>
      <x:c r="F40" s="69" t="n">
        <x:f>E40+C40-D40</x:f>
        <x:v>44</x:v>
      </x:c>
      <x:c r="G40" s="69" t="str">
        <x:f>IF(F40&lt;0,"QUIEBRE",IF(F40=0,"SIN STOCK","OK"))</x:f>
        <x:v>OK</x:v>
      </x:c>
      <x:c r="H40" s="69" t="n">
        <x:f>IFERROR(EOMONTH(A40,0)-MAXIFS(Ingresos!$B$5:$B$14,Ingresos!$C$5:$C$14,B40,Ingresos!$D$5:$D$14,"Comercial",Ingresos!$B$5:$B$14,"&lt;="&amp;EOMONTH(A40,0)),"")</x:f>
        <x:v>298</x:v>
      </x:c>
      <x:c r="I40" s="33" t="str">
        <x:f>IF(G40="QUIEBRE","Ventas superaron el stock acumulado",IF(G40="SIN STOCK","Revisar fecha exacta del agotamiento","Stock disponible al cierre"))</x:f>
        <x:v>Stock disponible al cierre</x:v>
      </x:c>
    </x:row>
    <x:row r="41">
      <x:c r="A41" s="61" t="n">
        <x:v>46357</x:v>
      </x:c>
      <x:c r="B41" s="32" t="str">
        <x:v>Noirpress-Negro</x:v>
      </x:c>
      <x:c r="C41" s="69" t="n">
        <x:f>SUMIFS(Ingresos!$E$5:$E$14,Ingresos!$C$5:$C$14,B41,Ingresos!$B$5:$B$14,"&gt;="&amp;A41,Ingresos!$B$5:$B$14,"&lt;"&amp;EDATE(A41,1))</x:f>
        <x:v>0</x:v>
      </x:c>
      <x:c r="D41" s="69" t="n">
        <x:f>SUMIFS('Ventas Mensuales'!$C$5:$C$42,'Ventas Mensuales'!$A$5:$A$42,A41,'Ventas Mensuales'!$B$5:$B$42,B41)</x:f>
        <x:v>0</x:v>
      </x:c>
      <x:c r="E41" s="69" t="n">
        <x:f>IF(ROW()&lt;=6,0,F39)</x:f>
        <x:v>618</x:v>
      </x:c>
      <x:c r="F41" s="69" t="n">
        <x:f>E41+C41-D41</x:f>
        <x:v>618</x:v>
      </x:c>
      <x:c r="G41" s="69" t="str">
        <x:f>IF(F41&lt;0,"QUIEBRE",IF(F41=0,"SIN STOCK","OK"))</x:f>
        <x:v>OK</x:v>
      </x:c>
      <x:c r="H41" s="69" t="n">
        <x:f>IFERROR(EOMONTH(A41,0)-MAXIFS(Ingresos!$B$5:$B$14,Ingresos!$C$5:$C$14,B41,Ingresos!$D$5:$D$14,"Comercial",Ingresos!$B$5:$B$14,"&lt;="&amp;EOMONTH(A41,0)),"")</x:f>
        <x:v>183</x:v>
      </x:c>
      <x:c r="I41" s="33" t="str">
        <x:f>IF(G41="QUIEBRE","Ventas superaron el stock acumulado",IF(G41="SIN STOCK","Revisar fecha exacta del agotamiento","Stock disponible al cierre"))</x:f>
        <x:v>Stock disponible al cierre</x:v>
      </x:c>
    </x:row>
    <x:row r="42">
      <x:c r="A42" s="62" t="n">
        <x:v>46357</x:v>
      </x:c>
      <x:c r="B42" s="36" t="str">
        <x:v>Noirpress-Blanco</x:v>
      </x:c>
      <x:c r="C42" s="71" t="n">
        <x:f>SUMIFS(Ingresos!$E$5:$E$14,Ingresos!$C$5:$C$14,B42,Ingresos!$B$5:$B$14,"&gt;="&amp;A42,Ingresos!$B$5:$B$14,"&lt;"&amp;EDATE(A42,1))</x:f>
        <x:v>0</x:v>
      </x:c>
      <x:c r="D42" s="71" t="n">
        <x:f>SUMIFS('Ventas Mensuales'!$C$5:$C$42,'Ventas Mensuales'!$A$5:$A$42,A42,'Ventas Mensuales'!$B$5:$B$42,B42)</x:f>
        <x:v>0</x:v>
      </x:c>
      <x:c r="E42" s="71" t="n">
        <x:f>IF(ROW()&lt;=6,0,F40)</x:f>
        <x:v>44</x:v>
      </x:c>
      <x:c r="F42" s="71" t="n">
        <x:f>E42+C42-D42</x:f>
        <x:v>44</x:v>
      </x:c>
      <x:c r="G42" s="71" t="str">
        <x:f>IF(F42&lt;0,"QUIEBRE",IF(F42=0,"SIN STOCK","OK"))</x:f>
        <x:v>OK</x:v>
      </x:c>
      <x:c r="H42" s="71" t="n">
        <x:f>IFERROR(EOMONTH(A42,0)-MAXIFS(Ingresos!$B$5:$B$14,Ingresos!$C$5:$C$14,B42,Ingresos!$D$5:$D$14,"Comercial",Ingresos!$B$5:$B$14,"&lt;="&amp;EOMONTH(A42,0)),"")</x:f>
        <x:v>329</x:v>
      </x:c>
      <x:c r="I42" s="40" t="str">
        <x:f>IF(G42="QUIEBRE","Ventas superaron el stock acumulado",IF(G42="SIN STOCK","Revisar fecha exacta del agotamiento","Stock disponible al cierre"))</x:f>
        <x:v>Stock disponible al cierre</x:v>
      </x:c>
    </x:row>
  </x:sheetData>
  <x:mergeCells>
    <x:mergeCell ref="A1:I1"/>
    <x:mergeCell ref="A2:I2"/>
  </x:mergeCells>
  <x:conditionalFormatting sqref="G5:G42">
    <x:cfRule type="expression" dxfId="2" priority="1">
      <x:formula>G5="QUIEBRE"</x:formula>
    </x:cfRule>
    <x:cfRule type="expression" dxfId="3" priority="2">
      <x:formula>G5="SIN STOCK"</x:formula>
    </x:cfRule>
    <x:cfRule type="expression" dxfId="4" priority="3">
      <x:formula>G5="OK"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6ea2f36d156418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2" hidden="0" customWidth="1"/>
    <x:col min="3" max="3" width="65" hidden="0" customWidth="1"/>
  </x:cols>
  <x:sheetData>
    <x:row r="1" ht="30" customHeight="1">
      <x:c r="A1" s="4" t="str">
        <x:v>Guía para revisar el archivo</x:v>
      </x:c>
      <x:c r="B1" s="4"/>
      <x:c r="C1" s="4"/>
    </x:row>
    <x:row r="3">
      <x:c r="A3" s="28" t="str">
        <x:v>Paso</x:v>
      </x:c>
      <x:c r="B3" s="29" t="str">
        <x:v>Hoja</x:v>
      </x:c>
      <x:c r="C3" s="30" t="str">
        <x:v>Acción</x:v>
      </x:c>
    </x:row>
    <x:row r="4" ht="34" customHeight="1">
      <x:c r="A4" s="93" t="str">
        <x:v>1</x:v>
      </x:c>
      <x:c r="B4" s="87" t="str">
        <x:v>Resumen</x:v>
      </x:c>
      <x:c r="C4" s="94" t="str">
        <x:v>Revisar frecuencia, tamaño de lotes y principales alertas.</x:v>
      </x:c>
    </x:row>
    <x:row r="5" ht="34" customHeight="1">
      <x:c r="A5" s="93" t="str">
        <x:v>2</x:v>
      </x:c>
      <x:c r="B5" s="87" t="str">
        <x:v>Ventas Mensuales</x:v>
      </x:c>
      <x:c r="C5" s="94" t="str">
        <x:v>Cargar unidades vendidas por mes y SKU.</x:v>
      </x:c>
    </x:row>
    <x:row r="6" ht="34" customHeight="1">
      <x:c r="A6" s="93" t="str">
        <x:v>3</x:v>
      </x:c>
      <x:c r="B6" s="87" t="str">
        <x:v>Control Stock</x:v>
      </x:c>
      <x:c r="C6" s="94" t="str">
        <x:v>Buscar estados SIN STOCK o QUIEBRE.</x:v>
      </x:c>
    </x:row>
    <x:row r="7" ht="34" customHeight="1">
      <x:c r="A7" s="93" t="str">
        <x:v>4</x:v>
      </x:c>
      <x:c r="B7" s="87" t="str">
        <x:v>Ingresos</x:v>
      </x:c>
      <x:c r="C7" s="94" t="str">
        <x:v>Ver la fecha exacta y los días entre cada pedido.</x:v>
      </x:c>
    </x:row>
    <x:row r="8" ht="34" customHeight="1">
      <x:c r="A8" s="95" t="str">
        <x:v>5</x:v>
      </x:c>
      <x:c r="B8" s="103" t="str">
        <x:v>Mayor precisión</x:v>
      </x:c>
      <x:c r="C8" s="96" t="str">
        <x:v>Si aparece un quiebre mensual, reemplazar luego el análisis con ventas diarias para ubicar el día exacto.</x:v>
      </x:c>
    </x:row>
  </x:sheetData>
  <x:mergeCells>
    <x:mergeCell ref="A1:C1"/>
  </x:mergeCells>
  <x:pageMargins left="0.7" right="0.7" top="0.75" bottom="0.75" header="0.3" footer="0.3"/>
</x:worksheet>
</file>